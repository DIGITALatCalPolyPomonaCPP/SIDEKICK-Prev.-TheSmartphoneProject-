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" sheetId="1" r:id="rId5"/>
    <sheet state="visible" name="Submitted Budget" sheetId="2" r:id="rId6"/>
    <sheet state="visible" name="Final Budget Proposal Hatchery" sheetId="3" r:id="rId7"/>
    <sheet state="visible" name="BOM for PCB" sheetId="4" r:id="rId8"/>
    <sheet state="visible" name="BOM of EVERYTHING" sheetId="5" r:id="rId9"/>
    <sheet state="visible" name="Purchased" sheetId="6" r:id="rId10"/>
    <sheet state="visible" name="Brainstorming for Actual Budget" sheetId="7" r:id="rId11"/>
    <sheet state="visible" name="SunnyBillOfMaterials" sheetId="8" r:id="rId12"/>
  </sheets>
  <definedNames>
    <definedName name="Motherboard">'BOM of EVERYTHING'!$A$5:$D$59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tc={baade889-6a59-413a-9357-500f2075225b}</author>
    <author>tc={e57984d4-4649-4cde-bea4-e505f1a02ecf}</author>
  </authors>
  <commentList>
    <comment authorId="0" xr:uid="{baade889-6a59-413a-9357-500f2075225b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2nd Revision
</t>
      </text>
    </comment>
    <comment authorId="1" xr:uid="{e57984d4-4649-4cde-bea4-e505f1a02ecf}" ref="A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Multimeter and Clamp Meter Kit			1	$384.93, $400.00, $420.00                                                                         - Supplies &amp; Equipment 			USB/Cable Tester			1	$79.99			$90.00			$120.00
</t>
      </text>
    </comment>
  </commentList>
</comments>
</file>

<file path=xl/sharedStrings.xml><?xml version="1.0" encoding="utf-8"?>
<sst xmlns="http://schemas.openxmlformats.org/spreadsheetml/2006/main" count="1020" uniqueCount="477">
  <si>
    <t>Milestone 1</t>
  </si>
  <si>
    <t>Type</t>
  </si>
  <si>
    <t>Description</t>
  </si>
  <si>
    <t>Qty</t>
  </si>
  <si>
    <t>Comment</t>
  </si>
  <si>
    <t>Budgeted</t>
  </si>
  <si>
    <t>JLCPCB Part #</t>
  </si>
  <si>
    <t>Quantity</t>
  </si>
  <si>
    <t>Product Links</t>
  </si>
  <si>
    <t>Price (ea) ($)</t>
  </si>
  <si>
    <t>Key</t>
  </si>
  <si>
    <t>Total Quantity</t>
  </si>
  <si>
    <t>Total Component Price</t>
  </si>
  <si>
    <t>Item Price</t>
  </si>
  <si>
    <t>Supplies &amp; Equipment</t>
  </si>
  <si>
    <t>Shipped + Tax</t>
  </si>
  <si>
    <t>W25Q128JVS</t>
  </si>
  <si>
    <t>C401662</t>
  </si>
  <si>
    <t>Liquid Crystal Display (LCD) Display Module</t>
  </si>
  <si>
    <t>2.4K</t>
  </si>
  <si>
    <t>C11889</t>
  </si>
  <si>
    <t>100k</t>
  </si>
  <si>
    <t>C60491</t>
  </si>
  <si>
    <t>What is the money being used for?</t>
  </si>
  <si>
    <t>Shipping</t>
  </si>
  <si>
    <t>States Sales $ Use Tax</t>
  </si>
  <si>
    <t>NMOS</t>
  </si>
  <si>
    <t>C700968</t>
  </si>
  <si>
    <t>Near Field Communication (NFC) Controller</t>
  </si>
  <si>
    <t>USB_C_Receptacle_USB2.0</t>
  </si>
  <si>
    <t>C165948</t>
  </si>
  <si>
    <t>600@100MHz</t>
  </si>
  <si>
    <t>C337875</t>
  </si>
  <si>
    <t>Import Tax</t>
  </si>
  <si>
    <t>DF40C-100DS-0.4V_51</t>
  </si>
  <si>
    <t>C597931</t>
  </si>
  <si>
    <t>4 categories:</t>
  </si>
  <si>
    <t>C25104</t>
  </si>
  <si>
    <t>System on Chips (SoC)</t>
  </si>
  <si>
    <t>DW01x</t>
  </si>
  <si>
    <t>Part Name</t>
  </si>
  <si>
    <t>C181096</t>
  </si>
  <si>
    <t>Grand Total</t>
  </si>
  <si>
    <t>44k2</t>
  </si>
  <si>
    <t>Stipend</t>
  </si>
  <si>
    <t>C25895</t>
  </si>
  <si>
    <t>10k</t>
  </si>
  <si>
    <t>C25744</t>
  </si>
  <si>
    <t>BMI323</t>
  </si>
  <si>
    <t>C5368700</t>
  </si>
  <si>
    <t>Big Daughterboard: 110</t>
  </si>
  <si>
    <t>100u</t>
  </si>
  <si>
    <t>Memory Chip</t>
  </si>
  <si>
    <t>C15008</t>
  </si>
  <si>
    <t>Discord Name</t>
  </si>
  <si>
    <t>100K</t>
  </si>
  <si>
    <t>C25741</t>
  </si>
  <si>
    <t>Link</t>
  </si>
  <si>
    <t>Price (USD)</t>
  </si>
  <si>
    <t>W Tax+Shipping</t>
  </si>
  <si>
    <t>Radio Frequency (RF) Chip</t>
  </si>
  <si>
    <t>Comments/Reasoning</t>
  </si>
  <si>
    <t>DMP2104LP</t>
  </si>
  <si>
    <t>C260933</t>
  </si>
  <si>
    <t>Travel</t>
  </si>
  <si>
    <t>Column 1</t>
  </si>
  <si>
    <t>5k1</t>
  </si>
  <si>
    <t>C25905</t>
  </si>
  <si>
    <t>Screw Extractor</t>
  </si>
  <si>
    <t>FPGA Development Board</t>
  </si>
  <si>
    <t>8k06</t>
  </si>
  <si>
    <t>Nuovoware Damaged Screw Extractor Set, 22 PCS Easy Out Stripped Screw Extractor Kit, All-purpose HSS Broken Screw Remover Set with Magnetic Extension Bit Holder &amp; Socket Adapter</t>
  </si>
  <si>
    <t>C25923</t>
  </si>
  <si>
    <t>STM32G431CBUx</t>
  </si>
  <si>
    <t>C529356</t>
  </si>
  <si>
    <t>Smaller Daughterboard: 50</t>
  </si>
  <si>
    <t>ravagedseaurchin</t>
  </si>
  <si>
    <t>470n</t>
  </si>
  <si>
    <t>C85926</t>
  </si>
  <si>
    <t>47u</t>
  </si>
  <si>
    <t>C16780</t>
  </si>
  <si>
    <t>LED_RED</t>
  </si>
  <si>
    <t>C157741</t>
  </si>
  <si>
    <t>https://www.amazon.com/Nuovoware-Extractor-Stripped-All-purpose-Extension/dp/B08XXP1SD9?crid=1RXYUJ99G6UAK&amp;dib=eyJ2IjoiMSJ9.QTAcphp4Xrd9ZrIecre7Tpjra1NULBweZW0DwV4PDeYR4obGqEtyIUvZEJ8QZfksojNqQUd9yb6YVxgRprY04a7o621RHSHFjwLfUwAIGAKM4yZIwwUVDaGUIxUXMFCIzKptf5Qbc9lruA557LXmjyNu6BqzXYVTi5xEzZqgc9Ikr1VMBPrNA4J4iV2WoFjJxRKCc5l9ajUKXJij-Ilk08CB04EVhOWsIciYDvXuyDXOIe52pmNr8N4-c1-taZk85lQsZOUAl4N1zT77PYCzQ7s8JaV6rhDWtY8uUx8wzCk.FZ6I0TlaUW9rBQs636v1wIwFD-lYFoJxJo2FIuQSwMM&amp;dib_tag=se&amp;keywords=small%2Bstripped%2Bscrew%2Bremover&amp;qid=1756420505&amp;sprefix=small%2Bstripped%2Bscrew%2Bremove%2Caps%2C166&amp;sr=8-7&amp;th=1</t>
  </si>
  <si>
    <t>10K</t>
  </si>
  <si>
    <t>C364373</t>
  </si>
  <si>
    <t>4k7</t>
  </si>
  <si>
    <t>C25900</t>
  </si>
  <si>
    <t>TPSM82864</t>
  </si>
  <si>
    <t>C5219321</t>
  </si>
  <si>
    <t>Other</t>
  </si>
  <si>
    <t>XC7Z020-CLG484</t>
  </si>
  <si>
    <t>C89055</t>
  </si>
  <si>
    <t>RTL8211F</t>
  </si>
  <si>
    <t>C187932</t>
  </si>
  <si>
    <t>1k5</t>
  </si>
  <si>
    <t>C25867</t>
  </si>
  <si>
    <t>3u3</t>
  </si>
  <si>
    <t>C7184</t>
  </si>
  <si>
    <t>Battery</t>
  </si>
  <si>
    <t>C25092</t>
  </si>
  <si>
    <t>MPM3834</t>
  </si>
  <si>
    <t>C6675417</t>
  </si>
  <si>
    <t>160k</t>
  </si>
  <si>
    <t>C25757</t>
  </si>
  <si>
    <t>1M</t>
  </si>
  <si>
    <t>C26083</t>
  </si>
  <si>
    <t>DSK34</t>
  </si>
  <si>
    <t>C7502709</t>
  </si>
  <si>
    <t>MT41K256M16TW-107_P</t>
  </si>
  <si>
    <t>C253882</t>
  </si>
  <si>
    <t>22u</t>
  </si>
  <si>
    <t>C45783</t>
  </si>
  <si>
    <t>C25117</t>
  </si>
  <si>
    <t>Who is receiving the stipend? What is the equipment you are purchasing? What is the travel expenditure?</t>
  </si>
  <si>
    <t>240R</t>
  </si>
  <si>
    <t>C25094</t>
  </si>
  <si>
    <t>47n</t>
  </si>
  <si>
    <t>C85925</t>
  </si>
  <si>
    <t>200k</t>
  </si>
  <si>
    <t>C137903</t>
  </si>
  <si>
    <t>Connectors (Audio Jacks, USB-C, Micro SD, HDMI)</t>
  </si>
  <si>
    <t>IS21ES08G</t>
  </si>
  <si>
    <t>C499918</t>
  </si>
  <si>
    <t>2k49</t>
  </si>
  <si>
    <t>C25884</t>
  </si>
  <si>
    <t>12k</t>
  </si>
  <si>
    <t>C845672</t>
  </si>
  <si>
    <t>1K</t>
  </si>
  <si>
    <t>C11702</t>
  </si>
  <si>
    <t>USB3318</t>
  </si>
  <si>
    <t>C622618</t>
  </si>
  <si>
    <t>22nF</t>
  </si>
  <si>
    <t>C1523</t>
  </si>
  <si>
    <t>TPS7A20</t>
  </si>
  <si>
    <t>C42901993</t>
  </si>
  <si>
    <t>Microphone</t>
  </si>
  <si>
    <t>100n</t>
  </si>
  <si>
    <t>C1525</t>
  </si>
  <si>
    <t>SRV05-4</t>
  </si>
  <si>
    <t>C7420376</t>
  </si>
  <si>
    <t>120R</t>
  </si>
  <si>
    <t>C275478</t>
  </si>
  <si>
    <t>MPM3822</t>
  </si>
  <si>
    <t>C2977812</t>
  </si>
  <si>
    <t>10u</t>
  </si>
  <si>
    <t>C15525</t>
  </si>
  <si>
    <t>3.7V 10000mAh Rechargeable Lithium Ion Polymer Battery</t>
  </si>
  <si>
    <t>100R</t>
  </si>
  <si>
    <t>C77623</t>
  </si>
  <si>
    <t>https://a.co/d/iwljzqt</t>
  </si>
  <si>
    <t>28k7</t>
  </si>
  <si>
    <t>C26972</t>
  </si>
  <si>
    <t>TP4056</t>
  </si>
  <si>
    <t>C725790</t>
  </si>
  <si>
    <t>PCB Manufacturer</t>
  </si>
  <si>
    <t xml:space="preserve">PCB Assembly </t>
  </si>
  <si>
    <t>PCB Board</t>
  </si>
  <si>
    <t>Screws stripped/stuck need to remove this helps</t>
  </si>
  <si>
    <t>Copper Heat Pipes and Spreader</t>
  </si>
  <si>
    <t>Helping Hands</t>
  </si>
  <si>
    <t>Kaisiking Helping Hands Soldering Station with Magnifying Glass, PCB Holder 4 Flexible Arms Magnifier and Third Hand Soldering Tool for Electronic Repair Soldering Jewelry Crafts</t>
  </si>
  <si>
    <t>Thermal Pads and Paste</t>
  </si>
  <si>
    <t>https://www.amazon.com/Kaisiking-Soldering-Magnifying-Magnifier-Electronic/dp/B0D8W2BSXJ/ref=sr_1_1_sspa?dib=eyJ2IjoiMSJ9.kmG3dszgr2B0LwsADg0jK9H6wsQ9N-8EinD06MMEDp-hb7p0aJW_o2HhsFr7H7uVKQZd7PtUeE9aIKEuWotEmY1VhbuUPe7PrZ_TFWgu_tS3sJk0FCllxbYWhW2D2wVBXlUDVEYpHxgLgHagtvhf5UfZCdHV0aVcUYv_DukJxLTI31Fj1kXXyxwSEYEHZbclbSLdXcABMRp98tfu4cR1_Gua3MSaLufW6fI6OObkHZ0hD-qrrwjgrlJNNleLLNfO8raTSWh0042dbpFAgBPeecfsyrxL78TiDF8qghOvBHA.RpMwrLlGTwHo76hSORC_Bde20EMeXCMpujqgEHjq1j8&amp;dib_tag=se&amp;keywords=magnifying%2Bsoldering%2Bstand&amp;qid=1756843934&amp;sr=8-1-spons&amp;sp_csd=d2lkZ2V0TmFtZT1zcF9hdGY&amp;th=1</t>
  </si>
  <si>
    <t>Camera Module</t>
  </si>
  <si>
    <t>ESP-32 Modules</t>
  </si>
  <si>
    <t>HDMI</t>
  </si>
  <si>
    <t>Total</t>
  </si>
  <si>
    <t>?</t>
  </si>
  <si>
    <t>MicroSD Slot</t>
  </si>
  <si>
    <t>Milestone 2</t>
  </si>
  <si>
    <t>Instead of microscope more of these should do the job (cheaper)</t>
  </si>
  <si>
    <t>Acetone</t>
  </si>
  <si>
    <t>Supernail Pure Acetone Polish Remover, 8 oz (Pack of 6)</t>
  </si>
  <si>
    <t>Audio Jack</t>
  </si>
  <si>
    <t>https://www.amazon.com/Super-Nail-Acetone-Polish-Remover/dp/B004CCUCAA/ref=sr_1_1_sspa?crid=1JX8SGOT0CZCC&amp;dib=eyJ2IjoiMSJ9.o9Vhk2hIS8Y9SZ8CIFNZQvOuNSvTmGC5E7M6A7CmfuPDAFLJx2dnjLh55Tb8WECaq7iPVVZI6tMCGg8-UzroM2ZjtxKMOua0bQYnIRkZclMhWcz62GpxFm_87hiPmlYB4Baji_cRXnY_kjU5MtdyjgJtcw38l_IJcTOBkz3Owd4zD-2xIk30u38p_O0drSPdnychaMusZnOTjR8GBjSNtWnyYIm582fv0kvH4ahO4L7d48FIeKIWkMb9WBR-khpm3_jhOefogibOzFMLTe-VV0cCYazXNwkoHmwN7nPIFQE.fuaRv0gr9uDXgZJ_JYYuXRJgbZlN6A5y_Kw9pnuwfTQ&amp;dib_tag=se&amp;keywords=acetone+bulk&amp;qid=1756843988&amp;sprefix=acetone+bulk%2Caps%2C193&amp;sr=8-1-spons&amp;sp_csd=d2lkZ2V0TmFtZT1zcF9hdGY&amp;psc=1</t>
  </si>
  <si>
    <r>
      <rPr>
        <rFont val="&quot;Fira Sans Extra Condensed&quot;, sans-serif"/>
        <color rgb="FF1155CC"/>
        <sz val="12.0"/>
        <u/>
      </rPr>
      <t>https://www.digikey.com/en/products/detail/same-sky-formerly-cui-devices/SJ-3523-SMT-TR/281297</t>
    </r>
    <r>
      <rPr>
        <rFont val="&quot;Fira Sans Extra Condensed&quot;, sans-serif"/>
        <sz val="12.0"/>
      </rPr>
      <t xml:space="preserve"> </t>
    </r>
  </si>
  <si>
    <t>Stipends</t>
  </si>
  <si>
    <t>Heat Gun</t>
  </si>
  <si>
    <t xml:space="preserve">Suplies &amp; Equipment </t>
  </si>
  <si>
    <t>USB/Cable Tester</t>
  </si>
  <si>
    <t>https://www.digikey.com/en/products/detail/pui-audio-inc/AMM-2742-T-WP-R/14289961</t>
  </si>
  <si>
    <t>REALLY GOOD DEAL ON BULK ACETONE</t>
  </si>
  <si>
    <t>Thermal Pads</t>
  </si>
  <si>
    <t>PTM7950 Thermal Pad Phase Change Heatsink 80x80x0.25mm 8.5W/mK Conductive for Heatsink PS5 Steam Deck CPU GPU SSD Silicone Grease Thermal Pad</t>
  </si>
  <si>
    <t>Multimeter and Clamp Meter Kit</t>
  </si>
  <si>
    <t>https://www.amazon.com/PTM7950-Heatsink-80x80x0-2mm-Conductive-Silicone/dp/B0BX42N9SZ/ref=sr_1_1?crid=3EKJ88424FPB7&amp;dib=eyJ2IjoiMSJ9.__8Xdag5t67ZPWOTkRVXq8YFgyVxCHwFgIvm3e6pqrQeeDWPZlCzDMwhYf8BYBggvdsPZNFvIqQVmdWxXmBzYOfxq0R2-aJl7j6qWEoRg7owNos4V_1b8RmiMeT-i9PKJ7xiMzLoG8P-MpTqDreEecfsghfSdRWU-kqx8ULkVUJ76hJ9A5iAr5moOc27stpCaYX6Jczpl36rUNJx2tTI5O20ibNRA9QUuRftpdx6-Ns.YV-NybOBenqyOfFR6werf7ladVVh3JT3zyzLCGuUVlQ&amp;dib_tag=se&amp;keywords=ptm7950+bulk&amp;qid=1756844146&amp;sprefix=thermal+paste+ptm7950+bulk%2Caps%2C213&amp;sr=8-1</t>
  </si>
  <si>
    <t>https://jlcpcb.com/</t>
  </si>
  <si>
    <t>Hot Plate</t>
  </si>
  <si>
    <t>Miscellaneous Components (Capacitors, Resistors, etc.)</t>
  </si>
  <si>
    <t>Thermal Pads on the pricer side but worth it in applicability and ease of use (we can get better value for bulk if we can purchase outside amazon)</t>
  </si>
  <si>
    <t>Glue</t>
  </si>
  <si>
    <t>Upgrade T-7000 Black Adhesive Glue for Phone, Cridoz 110ml Waterproof Jewelry Glue Precision Craft Adhesive for Cell Phone Screen Repair Glass Wood Crafts Metal and Stones</t>
  </si>
  <si>
    <t>https://www.amazon.com/Upgrade-Adhesive-Waterproof-Jewelry-Precision/dp/B09YRT2YJ4/ref=sr_1_1_sspa?crid=3E8B5QELA74O3&amp;dib=eyJ2IjoiMSJ9.13U-96WLiTsS21Ue8bmXNT7Nza8o2K6XCCL9S4glWwW92-PL1me_yrBxY9lbyMX642B0MJ77TDsUFSCSEWXOO8Kp0Ovkmt6sG2mvyuZpzMKCvz8QwV2kcaPfFL19h0iSyz9IXCt-Mq81QbSyr0xmaAdK57gbL7eXnaXCiTRoff7yCQidYjfOKi-jvrYoBOnJEV7GIm7HT6E1kJJw8KkGq_ebydPXDRbJu-V0Dx8C9PG0Ah-StO-EyhJ3fn2uQSxlZxkMRK04GJjGk-q0MLjcJfZ7hAq4WT7gzlmzXpejDfk.oAcA70IN5DONUBa8Ao9JFe9QxH8Ys8awyO3scH12rBM&amp;dib_tag=se&amp;keywords=Electronics%2Bglue&amp;qid=1756845264&amp;sprefix=electronics%2Bglue%2Caps%2C211&amp;sr=8-1-spons&amp;sp_csd=d2lkZ2V0TmFtZT1zcF9hdGY&amp;th=1</t>
  </si>
  <si>
    <t>Round Copper Heat Pipes</t>
  </si>
  <si>
    <t>Milestone 3</t>
  </si>
  <si>
    <t>https://www.aliexpress.us/item/3256805846099656.html?src=google&amp;pdp_npi=4%40dis!USD!4.50!2.70!!!!!%40!12000035406222596!ppc!!!&amp;src=google&amp;albch=shopping&amp;acnt=708-803-3821&amp;isdl=y&amp;slnk=&amp;plac=&amp;mtctp=&amp;albbt=Google_7_shopping&amp;aff_platform=google&amp;aff_short_key=UneMJZVf&amp;gclsrc=aw.ds&amp;albagn=888888&amp;ds_e_adid=&amp;ds_e_matchtype=&amp;ds_e_device=c&amp;ds_e_network=x&amp;ds_e_product_group_id=&amp;ds_e_product_id=en3256805846099656&amp;ds_e_product_merchant_id=5520179106&amp;ds_e_product_country=ZZ&amp;ds_e_product_language=en&amp;ds_e_product_channel=online&amp;ds_e_product_store_id=&amp;ds_url_v=2&amp;albcp=19108282527&amp;albag=&amp;isSmbAutoCall=false&amp;needSmbHouyi=false&amp;gad_source=4&amp;gad_campaignid=19108284222&amp;gbraid=0AAAAAD6I-hGiPM_Dhs_5mXc1Z5Vsv19r1&amp;gclid=Cj0KCQjwzaXFBhDlARIsAFPv-u-8cwWhsr1ROR6hqH1dbdZmd_gvpz9ewt1iqNIG2ZJ4QuWYf4NJubkaAhQuEALw_wcB&amp;gatewayAdapt=glo2usa</t>
  </si>
  <si>
    <t>Material Cost</t>
  </si>
  <si>
    <t>Tax + Shipping</t>
  </si>
  <si>
    <t>Aluminum Phone Frame (Raw Aluminum, Finishing)</t>
  </si>
  <si>
    <t>Glue to put the devices back together after removing old glue to open it up</t>
  </si>
  <si>
    <t>Brushes</t>
  </si>
  <si>
    <t>Addiotonal Equipment/Components (Budget Room)</t>
  </si>
  <si>
    <t>The Army Painter Gamemaster Character Brush Set - Precise Detail Brush Set Include 1 Small Detail Brush, 1 Monstrous Brush, 1 Drybrush Fine Detail Paint Brush, Small Paint Brush for Miniature Painting</t>
  </si>
  <si>
    <t>https://www.amazon.com/gp/product/B0BRL3DJ8Z/ref=ox_sc_act_title_22?smid=A12KX68C9776T9&amp;psc=1</t>
  </si>
  <si>
    <t>We probably have brushes to apply grease/lube, if not this is the amazon link to some good ones (won't break down from the compounds)</t>
  </si>
  <si>
    <t>Flat Copper Heat Pipes</t>
  </si>
  <si>
    <t>Threadlocker</t>
  </si>
  <si>
    <t>ESKONKE Thread Locker Blue 243 - Removable Threadlocker Metal Glue for Nuts, Bolts, Fasteners Medium Strength Screw Compound to Prevent Loosening &amp; Corrosion 1.69 Oz/50 ml</t>
  </si>
  <si>
    <t>https://www.aliexpress.us/item/3256807168791192.html?spm=a2g0o.detail.pcDetailTopMoreOtherSeller.11.48b85d8cW7otm5&amp;gps-id=pcDetailTopMoreOtherSeller&amp;scm=1007.40196.439370.0&amp;scm_id=1007.40196.439370.0&amp;scm-url=1007.40196.439370.0&amp;pvid=fc441c23-ecb4-4a60-8755-0314df5e393e&amp;_t=gps-id:pcDetailTopMoreOtherSeller,scm-url:1007.40196.439370.0,pvid:fc441c23-ecb4-4a60-8755-0314df5e393e,tpp_buckets:668%232846%238108%231977&amp;pdp_ext_f=%7B%22order%22%3A%22114%22%2C%22eval%22%3A%221%22%2C%22sceneId%22%3A%2230050%22%7D&amp;pdp_npi=6%40dis!USD!10.65!0.99!!!76.14!7.09!%402103244417560632316962446e93ba!12000040399431259!rec!US!!ABXZ!1!0!n_tag%3A-29910%3Bd%3A3936972c%3Bm03_new_user%3A-29895%3BpisId%3A5000000174221210&amp;utparam-url=scene%3ApcDetailTopMoreOtherSeller%7Cquery_from%3A%7Cx_object_id%3A1005007355105944%7C_p_origin_prod%3A</t>
  </si>
  <si>
    <t>TOTALS</t>
  </si>
  <si>
    <t>https://www.amazon.com/gp/product/B0CHM5QS3N/ref=ox_sc_act_title_14?smid=AKFL6YKYZULXS&amp;th=1</t>
  </si>
  <si>
    <t>How many student team members do you have?</t>
  </si>
  <si>
    <t>Allotted Budget</t>
  </si>
  <si>
    <t xml:space="preserve">Keeps bolts/parts from seizing (also kinda important) </t>
  </si>
  <si>
    <t>Antisieze</t>
  </si>
  <si>
    <t>Permatex 80078 Anti-Seize Lubricant With Brush Top Bottle Prevents Galling, Corrosion, Seizing, Refined Blend Aluminum, Copper, And Graphite Lubricants For Spark Plugs 8 oz</t>
  </si>
  <si>
    <t>https://www.amazon.com/gp/product/B000FW7VGE/ref=ox_sc_act_title_21?smid=ATVPDKIKX0DER&amp;th=1</t>
  </si>
  <si>
    <t>Cleaning Rags (150)</t>
  </si>
  <si>
    <t>SIMPLI-MAGIC Cotton Shop Towels 14"x12" (150 Pack) – Reusable Cleaning Shop Rags for Automobiles, Industries, Garage and Homes (White)</t>
  </si>
  <si>
    <t>https://www.amazon.com/Simpli-Magic-79142-Shop-Towels-White/dp/B07J3BLQPM/ref=sr_1_11?crid=277JWG19MFS8M&amp;dib=eyJ2IjoiMSJ9.h2x_r372ZjFaMYg7rDI0C22JPsFA8XIUmFbrdvzuQtTVvVzjvD7o3W5Kh7PmWzx6ny2JtFUadpOz_z0cLpDHloj4qeoF800vChbq3Y3kpjRSexcEJSJc9-UBBH9sMOkXuoX-N6gkdcHQylW_3HNlFPPm-_26Xl_Uhmk0-Nz_rgFw_6XUkNiKkMHv_50R0KO_CVkmpFCehcJcaMgSonw3N4ILuwWcgVKELvo1_Rwu0Z3l_9A3Xfs6R5Kr7ofDVzzyOAGmMxPVY4YHT2word7zrJ0dKzh5peJQxtfEBLcDgH8.wT_zBX0l40P17VdvfENvLDc3m8bPG5EjvFaWrFNmqSI&amp;dib_tag=se&amp;keywords=cotton%2Bcleaning%2Brags&amp;qid=1757867613&amp;sprefix=cotton%2Bcleaning%2B%2Caps%2C215&amp;sr=8-11&amp;th=1</t>
  </si>
  <si>
    <t>Entire Project</t>
  </si>
  <si>
    <t>Copper Heat Spreader</t>
  </si>
  <si>
    <t>Silicone Thermal Pads</t>
  </si>
  <si>
    <t>Microsope 3rd person</t>
  </si>
  <si>
    <t>https://www.amazon.com/Silicone-Including-Thickness-Conductive-Heatsink/dp/B0CN9GH7HG/ref=sr_1_15?crid=3SDFMDZYIQ48H&amp;dib=eyJ2IjoiMSJ9.PnR2UEnyL6FmSmXe9cQGrqTFmwVFmyQcqDUrm9xGOhC5bgitxqfgb1el8GBpNrazqgtjZnx3tQ9H8aBbdP0UAOdlCYUy1jGuDN4OVgSmHdP9D7sjDdT4pxnm05X-SqmPHT1enFsz8NBftU8-Nm_kmKKqP_ILyNacWblxm1gd_DO1M-bBA94AuEDVpVQV92K_3qGGq7SCxXzsbQXgIAkQJB-UxQIwe9nQeEUT19ZaQ_k.GsxKZaiVOXiak68a6sR-EDAG2mbN2Yr_C3QBJBk0Ly4&amp;dib_tag=se&amp;keywords=silicone+thermal+pads+100&amp;qid=1756063554&amp;sprefix=silicone+thermal+pads+100%2Caps%2C167&amp;sr=8-15</t>
  </si>
  <si>
    <t>Great Education/Training Tool, better than no microscope when needed (Convinced by Dr.Velden)</t>
  </si>
  <si>
    <t>Solder Paste</t>
  </si>
  <si>
    <t>Wonderway Sn42/Bi58 T4 Lead Free Solder Paste No Clean, 138℃ Melting Point (30gx4packs)</t>
  </si>
  <si>
    <t>https://www.amazon.com/Wonderway-Solder-Paste-Melting-30gx4packs/dp/B0D14KSQ48/ref=sr_1_3_sspa?crid=2S85GYWKTII1S&amp;dib=eyJ2IjoiMSJ9.wxAv797Zc0W6wtsHpTYA6qMobpVQ5StUxu9AkimLEheMNLuXgqzxQA6lAPJL8ZFnKHDmKRsbWBLVqyPEtPT3-H-22Y3NdLxmVAb_zvuCswLNACq6NeCB3UtnAg1QeC-r3dkUuZjgzxF0z9Bp9Hfeiblu7CKugKD-7wY4IXqO8Nz9Aa712EoN_vS47Zl-e3oPDWPRQ4eiPc2Tp2pQiclmiKxnEbRahAq0BDJn7GDgoSs_qcnQLZErN_V_A2IvjQqnczQV9LpvixyTygqxBhJ2HbHRUFMKR-qv3atQUfm7FNI.WJBwLvJA3TftysDq2Q19fEaORVe5Lnnze2wVrJ4I7NM&amp;dib_tag=se&amp;keywords=solder+paste&amp;qid=1757027986&amp;sprefix=solder+paste%2Caps%2C226&amp;sr=8-3-spons&amp;sp_csd=d2lkZ2V0TmFtZT1zcF9hdGY&amp;psc=1</t>
  </si>
  <si>
    <t>Thermal Paste</t>
  </si>
  <si>
    <t>https://www.amazon.com/ARCTIC-MX-4-2019-Performance-Durability/dp/B07L9BDY3T?psc=1&amp;pd_rd_w=A1SCT&amp;content-id=amzn1.sym.ea1d9533-fbb7-4608-bb6f-bfdceb6f6336&amp;pf_rd_p=ea1d9533-fbb7-4608-bb6f-bfdceb6f6336&amp;pf_rd_r=TVZR0XKCKS6HSBX5D1AZ&amp;pd_rd_wg=QrVq4&amp;pd_rd_r=e563a276-3119-49eb-9b9e-c092e51d2e53&amp;ref_=sspa_dk_detail_sbt_1&amp;sp_csd=d2lkZ2V0TmFtZT1zcF9kZXRhaWxfdGhlbWF0aWM=</t>
  </si>
  <si>
    <t>We HAD A HOT PLATE THIS WHOLE TIME AND NOT THE TOOLS TO USE IT GHJASKLFSHLKFHAS:L</t>
  </si>
  <si>
    <t>https://www.digikey.com/en/products/detail/image-quality-labs-inc/IQL-OV5675-FF/22022863?s=N4IgTCBcDaIPIFsB2BLAbigzig9kgBHAGoCsAbAOwkgC6AvkA</t>
  </si>
  <si>
    <t>Raspberry Pico Pi Development Board (2-Pack)</t>
  </si>
  <si>
    <t>https://a.co/d/bnC5xsX</t>
  </si>
  <si>
    <t>STM32 Development Board (4-Pack)</t>
  </si>
  <si>
    <t>https://www.amazon.com/dp/B0FDG3MKVK?ref=cm_sw_r_cso_cp_apin_dp_8GBGYPFSQJD3PAFWKNRM&amp;ref_=cm_sw_r_cso_cp_apin_dp_8GBGYPFSQJD3PAFWKNRM&amp;social_share=cm_sw_r_cso_cp_apin_dp_8GBGYPFSQJD3PAFWKNRM&amp;csmig=1</t>
  </si>
  <si>
    <t>Team</t>
  </si>
  <si>
    <t>System on Module (SoM) [Motherboard]</t>
  </si>
  <si>
    <t>Hardware Design</t>
  </si>
  <si>
    <t>1 kΩ Resistor [JLCPCB Part C11702 (Basic)]</t>
  </si>
  <si>
    <t>220 Ω Resistor [JLCPCB Part C25092 (Basic)]</t>
  </si>
  <si>
    <t>330 Ω Resistor [JLCPCB Part C25104 (Basic)]</t>
  </si>
  <si>
    <t>470 Ω Resistor [JLCPCB Part C25117 (Basic)]</t>
  </si>
  <si>
    <t>Updated Mother Board</t>
  </si>
  <si>
    <t>1.5 kΩ Resistor [JLCPCB Part C25867 (Basic)]</t>
  </si>
  <si>
    <t>4.7 kΩ Resistor [JLCPCB Part C25900 (Basic)]</t>
  </si>
  <si>
    <t>5.1 kΩ Resistor [JLCPCB Part C25905 (Basic)]</t>
  </si>
  <si>
    <t>10 kΩ Resistor [JLCPCB Part C25744 (Basic)]</t>
  </si>
  <si>
    <t>1 MΩ Resistor [JLCPCB Part C26083 (Basic)]</t>
  </si>
  <si>
    <t>100 kΩ Resistor [JLCPCB Part C25741 (Basic)]</t>
  </si>
  <si>
    <t>10 kΩ Resistor [JLCPCB Part C364373 (Extended)]</t>
  </si>
  <si>
    <t>100 Ω Resistor [JLCPCB Part C77623 (Extended)]</t>
  </si>
  <si>
    <t>100 kΩ Resistor [JLCPCB Part C60491 (Extended)]</t>
  </si>
  <si>
    <t>160 kΩ Resistor [JLCPCB Part C25867 (Extended)]</t>
  </si>
  <si>
    <t xml:space="preserve">200 kΩ Resistor [JLCPCB Part C137903 (Extended)] </t>
  </si>
  <si>
    <t xml:space="preserve">240 Ω Resistor [JLCPCB Part C25094 (Extended)] </t>
  </si>
  <si>
    <t>160 kΩ Resistor [JLCPCB Part C25757 (Extended)]</t>
  </si>
  <si>
    <t xml:space="preserve">2.49 kΩ Resistor [JLCPCB Part C25884 (Extended)] </t>
  </si>
  <si>
    <t xml:space="preserve">44.2 kΩ Resistor [JLCPCB Part C25895 (Extended)] </t>
  </si>
  <si>
    <t xml:space="preserve">8.06 kΩ Resistor [JLCPCB Part C25923 (Extended)] </t>
  </si>
  <si>
    <t xml:space="preserve">12 kΩ Resistor [JLCPCB Part C845672 (Extended)] </t>
  </si>
  <si>
    <t xml:space="preserve">28.7 kΩ Resistor [JLCPCB Part C26972 (Extended)] </t>
  </si>
  <si>
    <t xml:space="preserve">2.4 kΩ Resistor [JLCPCB Part C11889 (Extended)] </t>
  </si>
  <si>
    <t xml:space="preserve">120Ω@100MHz Ferrite Bead [JLCPCB Part C275478 (Extended)] </t>
  </si>
  <si>
    <t xml:space="preserve">600Ω@100MHz Ferrite Bead [JLCPCB Part C337875 (Extended)] </t>
  </si>
  <si>
    <t xml:space="preserve">100μF Capacitors [JLCPCB Part C15008 (Basic)] </t>
  </si>
  <si>
    <t xml:space="preserve">47 μF Capacitors [JLCPCB Part C16780 (Basic)] </t>
  </si>
  <si>
    <t xml:space="preserve">10 μF Capacitors [JLCPCB Part C15525 (Basic)] </t>
  </si>
  <si>
    <t>22 μF Capacitors [JLCPCB Part C45783 (Basic)]</t>
  </si>
  <si>
    <t xml:space="preserve">22 nF Capacitors [JLCPCB Part C1523 (Extended)] </t>
  </si>
  <si>
    <t xml:space="preserve">100 nF Capacitors [JLCPCB Part C1525 (Extended)] </t>
  </si>
  <si>
    <t xml:space="preserve">47 nF Capacitors [JLCPCB Part C85925 (Extended)] </t>
  </si>
  <si>
    <t xml:space="preserve">470 nF Capacitors [JLCPCB Part C85926 (Extended)] </t>
  </si>
  <si>
    <t>Reference</t>
  </si>
  <si>
    <t xml:space="preserve">3.3 μF Capacitors [JLCPCB Part C7184 (Extended)] </t>
  </si>
  <si>
    <t>Value</t>
  </si>
  <si>
    <t>Footprint</t>
  </si>
  <si>
    <t xml:space="preserve">5A Female Type-C [JLCPCB Part C165948 (Extended)] </t>
  </si>
  <si>
    <t>LCSC Part</t>
  </si>
  <si>
    <t xml:space="preserve">Battery Protection IC [JLCPCB Part C181096 (Extended)] </t>
  </si>
  <si>
    <t>Digikey</t>
  </si>
  <si>
    <t>C1,C7,C8,C9,C10,C11,C12,C15,C32,C34,C36,C38,C40,C44,C45,C52,C57,C59,C66,C70,C71,C77,C78,C79,C87,C88,C95,C97,C103,C123,C128,C129,C139,C141</t>
  </si>
  <si>
    <t xml:space="preserve">Ethernet Transceivers [JLCPCB Part C187932 (Extended)] </t>
  </si>
  <si>
    <t>4u7</t>
  </si>
  <si>
    <t>Capacitor_SMD:C_0402_1005Metric</t>
  </si>
  <si>
    <t>C368809</t>
  </si>
  <si>
    <t>C2,C3,C4,C5,C6,C16,C17,C18,C19,C20,C21,C22,C138,C142,C149,C150</t>
  </si>
  <si>
    <t>Capacitor_SMD:C_0402_1005Metric,Capacitor_SMD:C_0805_2012Metric</t>
  </si>
  <si>
    <t>C16780,gia</t>
  </si>
  <si>
    <t>C13,C23,C33,C35,C37,C39,C41,C43,C46,C47,C48,C50,C53,C54,C55,C56,C61,C62,C67,C69,C72,C76,C80,C81,C82,C83,C84,C85,C89,C90,C91,C92,C94,C98,C99,C100,C101,C102,C107,C108,C112,C114,C130,C131,C132,C133,C134,C135,C136,C137</t>
  </si>
  <si>
    <t>Capacitor_SMD:C_0201_0603Metric</t>
  </si>
  <si>
    <t>C14</t>
  </si>
  <si>
    <t>-</t>
  </si>
  <si>
    <t>C24,C27,C28,C29,C31,C49,C73,C74,C75,C86,C127,C151,C152</t>
  </si>
  <si>
    <t>Capacitor_SMD:C_0805_2012Metric</t>
  </si>
  <si>
    <t xml:space="preserve">DDR SDRAM [JLCPCB Part C253882 (Extended)] </t>
  </si>
  <si>
    <t>C25,C26,C30</t>
  </si>
  <si>
    <t xml:space="preserve">1.5A P-Channel MOSFET [JLCPCB Part C260933 (Extended)] </t>
  </si>
  <si>
    <t>C98190</t>
  </si>
  <si>
    <t>C42,C51,C58,C60,C63,C64,C68,C93,C96</t>
  </si>
  <si>
    <t>Capacitor_SMD:C_1206_3216Metric</t>
  </si>
  <si>
    <t xml:space="preserve">128Mbit SPI Flash Memory [JLCPCB Part C401662 (Extended)] </t>
  </si>
  <si>
    <t>C65</t>
  </si>
  <si>
    <t xml:space="preserve">CPU (STM32G431CBU6) [JLCPCB Part C529356 (Extended)] </t>
  </si>
  <si>
    <t>C15525////</t>
  </si>
  <si>
    <t xml:space="preserve">Red LED Indicator [JLCPCB Part C157741 (Extended)] </t>
  </si>
  <si>
    <t>C104,C105,C106,C109,C110,C111,C113,C118,C119,C120,C121,C122,C124,C125,C126</t>
  </si>
  <si>
    <t>Bulk Breakout Board</t>
  </si>
  <si>
    <t>C115</t>
  </si>
  <si>
    <t>0.1uF</t>
  </si>
  <si>
    <t>C116</t>
  </si>
  <si>
    <t xml:space="preserve">DC-DC Buck Converter Module [JLCPCB Part C2977812 (Extended)] </t>
  </si>
  <si>
    <t>Bulk Breakout Boards</t>
  </si>
  <si>
    <t xml:space="preserve"> Accelerometer Gyroscope [JLCPCB Part C5368700 (Extended)] </t>
  </si>
  <si>
    <t xml:space="preserve"> 8 GB eMMC chip [Non-Removable SD] [JLCPCB Part C499918 (Extended)] </t>
  </si>
  <si>
    <t>10uF</t>
  </si>
  <si>
    <t>C117,C140,C143,C144,C145,C146,C147,C148</t>
  </si>
  <si>
    <t>D1</t>
  </si>
  <si>
    <t xml:space="preserve">Voltage Regulators [JLCPCB Part C42901993 (Extended)] </t>
  </si>
  <si>
    <t>Diode_SMD:Nexperia_CFP3_SOD-123W</t>
  </si>
  <si>
    <t>D2</t>
  </si>
  <si>
    <t>LED_Small</t>
  </si>
  <si>
    <t>LED_SMD:LED_0603_1608Metric</t>
  </si>
  <si>
    <t>H1,H2,H3,H4</t>
  </si>
  <si>
    <t>MountingHole</t>
  </si>
  <si>
    <t xml:space="preserve">DC-DC Step-Down Converter [JLCPCB Part C5219321 (Extended)] </t>
  </si>
  <si>
    <t>Mylibrary:MountingHole_2.7mm_M2.5_ISO14580_MOD</t>
  </si>
  <si>
    <t>J1,J2,J3</t>
  </si>
  <si>
    <t>Mylibrary:HRS_DF40C-100DP-0.4V_51_</t>
  </si>
  <si>
    <t xml:space="preserve">Female 100-Pin Board-to-Board Connector [JLCPCB Part C597931 (Extended)] </t>
  </si>
  <si>
    <t>DF40HC(3.0)-100DS-0.4V(51)</t>
  </si>
  <si>
    <t>J4</t>
  </si>
  <si>
    <t>Conn_01x14_Pin</t>
  </si>
  <si>
    <t>fp:TFT-320x240</t>
  </si>
  <si>
    <t xml:space="preserve">USB PHY (Physical Layer Transceiver) [JLCPCB Part C622618 (Extended)] </t>
  </si>
  <si>
    <t>J5</t>
  </si>
  <si>
    <t>Connector_USB:USB_C_Receptacle_HRO_TYPE-C-31-M-12</t>
  </si>
  <si>
    <t xml:space="preserve">DC-DC Step-Down Power Supply Module [JLCPCB Part C6675417 (Extended)] </t>
  </si>
  <si>
    <t>J6</t>
  </si>
  <si>
    <t>HDMI_C_1.3</t>
  </si>
  <si>
    <t>fp:XKB Connection A71-05H4-111N1</t>
  </si>
  <si>
    <t xml:space="preserve">Supplies &amp; Equipment </t>
  </si>
  <si>
    <t xml:space="preserve">Dual N-Channel Power MOSFET [JLCPCB Part C700968 (Extended)] </t>
  </si>
  <si>
    <t>J7,J11</t>
  </si>
  <si>
    <t>Conn_01x02_Pin</t>
  </si>
  <si>
    <t>Connector_PinHeader_2.54mm:PinHeader_1x02_P2.54mm_Vertical</t>
  </si>
  <si>
    <t>J8,J9</t>
  </si>
  <si>
    <t>Conn_01x12_Pin</t>
  </si>
  <si>
    <t>Connector_PinSocket_2.54mm:PinSocket_2x06_P2.54mm_Horizontal</t>
  </si>
  <si>
    <t>J10</t>
  </si>
  <si>
    <t>AudioJack3</t>
  </si>
  <si>
    <t>Connector_Audio:Jack_3.5mm_CUI_SJ-3523-SMT_Horizontal</t>
  </si>
  <si>
    <t xml:space="preserve">Li-ion Battery Charger IC [JLCPCB Part C725790 (Extended)] </t>
  </si>
  <si>
    <t>J20</t>
  </si>
  <si>
    <t>Conn_02x04_Odd_Even</t>
  </si>
  <si>
    <t>Connector_PinHeader_2.54mm:PinHeader_2x04_P2.54mm_Vertical</t>
  </si>
  <si>
    <t>L1</t>
  </si>
  <si>
    <t>Mylibrary:L_0806_2.0x1.6mm</t>
  </si>
  <si>
    <t>C98336</t>
  </si>
  <si>
    <t xml:space="preserve">ESD Surge Protection Chip [JLCPCB Part C7420376 (Extended)] </t>
  </si>
  <si>
    <t>L2,L3,L4,L6,L7,L8,L9</t>
  </si>
  <si>
    <t>Inductor_SMD:L_0402_1005Metric</t>
  </si>
  <si>
    <t xml:space="preserve">3 A, 40 V Schottky Diode [JLCPCB Part C7502709 (Extended)] </t>
  </si>
  <si>
    <t>L5</t>
  </si>
  <si>
    <t>C337875/gia</t>
  </si>
  <si>
    <t xml:space="preserve">XILINX Zynq-7000 System-on-Chip (SoC)  [JLCPCB Part C89055 (Extended)] </t>
  </si>
  <si>
    <t>LED1</t>
  </si>
  <si>
    <t>Q1</t>
  </si>
  <si>
    <t>HSCC8233</t>
  </si>
  <si>
    <t>fp:DFN-6-1EP_3x2mm_P0.5mm_EP1.65x1.35mm_Dual_MOSFETs</t>
  </si>
  <si>
    <t>Q3</t>
  </si>
  <si>
    <t>Package_TO_SOT_SMD:SOT-23</t>
  </si>
  <si>
    <t>Q4</t>
  </si>
  <si>
    <t>fp:Diodes_DFN1411-3</t>
  </si>
  <si>
    <t>R1,R5,R6,R13,R15,R39,R40,R41,R42,R43,R44,R74,R75,R76,R77,R86,R87,R88,R89,R90,R92,R93,R94,R97,R100</t>
  </si>
  <si>
    <t>Resistor_SMD:R_0402_1005Metric</t>
  </si>
  <si>
    <t>C25744/gia</t>
  </si>
  <si>
    <t>R2,R20,R21,R22,R49,R51,R52,R53,R54,R55,R56,R57,R58,R59,R60,R61,R62,R63,R64,R65,R66,R67,R68,R69,R70,R71,R72,R73,R95,R96</t>
  </si>
  <si>
    <t>22R</t>
  </si>
  <si>
    <t>C114765/C25105</t>
  </si>
  <si>
    <t>R3,R4,R14</t>
  </si>
  <si>
    <t>R7,R8,R9,R10,R11,R12,R17,R18,R19,R48,R98,R99</t>
  </si>
  <si>
    <t>C25940</t>
  </si>
  <si>
    <t>R16</t>
  </si>
  <si>
    <t>R23,R27,R28,R29,R30,R31,R32,R35,R36,R78,R79,R82,R83,R84,R85</t>
  </si>
  <si>
    <t>R24</t>
  </si>
  <si>
    <t>R25</t>
  </si>
  <si>
    <t>R26,R33,R37</t>
  </si>
  <si>
    <t>R34</t>
  </si>
  <si>
    <t>R38</t>
  </si>
  <si>
    <t>R45</t>
  </si>
  <si>
    <t>R46,R47,R50</t>
  </si>
  <si>
    <t>Resistor_SMD:R_0201_0603Metric,Resistor_SMD:R_0402_1005Metric</t>
  </si>
  <si>
    <t>C25138,C270336</t>
  </si>
  <si>
    <t>R80</t>
  </si>
  <si>
    <t>gia</t>
  </si>
  <si>
    <t>R81</t>
  </si>
  <si>
    <t>R91</t>
  </si>
  <si>
    <t>R101</t>
  </si>
  <si>
    <t>R102,R103</t>
  </si>
  <si>
    <t>5.1K</t>
  </si>
  <si>
    <t>R104,R108</t>
  </si>
  <si>
    <t>R105,R110</t>
  </si>
  <si>
    <t>R106,R111</t>
  </si>
  <si>
    <t>R107</t>
  </si>
  <si>
    <t>R109</t>
  </si>
  <si>
    <t>R112,R113,R114,R115</t>
  </si>
  <si>
    <t>R116,R117</t>
  </si>
  <si>
    <t>1.8k</t>
  </si>
  <si>
    <t>TP1,TP2,TP3,TP4,TP5,TP6,TP7,TP8,TP9,TP10,TP11,TP12,TP13,TP14,TP15,TP16</t>
  </si>
  <si>
    <t>TestPoint</t>
  </si>
  <si>
    <t>Mylibrary:TestPoint_Pad_D0.7mm</t>
  </si>
  <si>
    <t>U1</t>
  </si>
  <si>
    <t>Mylibrary:BGA96C80P9X16_1400X800X120</t>
  </si>
  <si>
    <t>U2</t>
  </si>
  <si>
    <t>Mylibrary:CLG484_XIL-L_new</t>
  </si>
  <si>
    <t>U3</t>
  </si>
  <si>
    <t>Mylibrary:RTL8211F-CG_RTK-L</t>
  </si>
  <si>
    <t>U4,U6</t>
  </si>
  <si>
    <t>Mylibrary:MPM3834</t>
  </si>
  <si>
    <t>Electrically Inducting Tape</t>
  </si>
  <si>
    <t>MPM3834CGPA-Z</t>
  </si>
  <si>
    <t>U5</t>
  </si>
  <si>
    <t>Package_DFN_QFN:QFN-24-1EP_4x4mm_P0.5mm_EP2.6x2.6mm</t>
  </si>
  <si>
    <t>USB3318C-CP-TR</t>
  </si>
  <si>
    <t>U7</t>
  </si>
  <si>
    <t>Mylibrary:BGA153N50P14X14_1150X1300X100</t>
  </si>
  <si>
    <t>U8</t>
  </si>
  <si>
    <t>Mylibrary:B0QFN_RDJ</t>
  </si>
  <si>
    <t>U9</t>
  </si>
  <si>
    <t>https://www.amazon.com/ELEGOO-Polyimide-Temperature-Resistant-Multi-Sized/dp/B072Z92QZ2/ref=sr_1_3?crid=1P1P9PWJ9O589&amp;dib=eyJ2IjoiMSJ9.zqOQGZZEwLknDHuLTG4X17KmmlKslmalMcqR5VmzyxW-sflu2PBk14ylqcS6MWH3SiUK_--BD_xNIxEdcpptHXSs72tJXoKscGaAxlo-OZBm-qKCkwVCjfp6BCumYXBkSy74qb5mNEb-W9AWmPV8bGh6Nzum56eky8x1Bi40ygXPStQgReU7FUECeRql0wGOwZC-0mYH2vnw-tnLvuWv6xHdG-x4tBqSr7XlR6HScqk.tah2KlGE6sxNJ2FzR5nVA0zkvJ3_ghr7WgEQnulAGBo&amp;dib_tag=se&amp;keywords=kapton+tape&amp;qid=1756063789&amp;sprefix=Kapton+%2Caps%2C171&amp;sr=8-3</t>
  </si>
  <si>
    <t>Mylibrary:STM32G431CBU6</t>
  </si>
  <si>
    <t>U10</t>
  </si>
  <si>
    <t>Mylibrary:QFN_2p5x3p5x1p6_MNP</t>
  </si>
  <si>
    <t>1589-2037-1-ND</t>
  </si>
  <si>
    <t>U11</t>
  </si>
  <si>
    <t>Package_SON:WSON-8-1EP_8x6mm_P1.27mm_EP3.4x4.3mm</t>
  </si>
  <si>
    <t>U12</t>
  </si>
  <si>
    <t>Package_TO_SOT_SMD:SOT-23-6</t>
  </si>
  <si>
    <t>U13</t>
  </si>
  <si>
    <t>Mylibrary:TLV707</t>
  </si>
  <si>
    <t>U14</t>
  </si>
  <si>
    <t>Mylibrary:BMI323_BOS</t>
  </si>
  <si>
    <t>U15</t>
  </si>
  <si>
    <t>Package_SO:TI_SO-PowerPAD-8</t>
  </si>
  <si>
    <t>U16</t>
  </si>
  <si>
    <t>U17</t>
  </si>
  <si>
    <t>~</t>
  </si>
  <si>
    <t>fp:CHIP_B02MM_STM</t>
  </si>
  <si>
    <t>X1</t>
  </si>
  <si>
    <t>ASCO</t>
  </si>
  <si>
    <t>Mylibrary:Oscillator_SMD_Kyocera_4PIN_2.0x1.6mm</t>
  </si>
  <si>
    <t>KC2016Z13.0000C1KX00</t>
  </si>
  <si>
    <t>X2</t>
  </si>
  <si>
    <t>ASE-xxxMHz</t>
  </si>
  <si>
    <t>KC2016Z25.0000C1KX00</t>
  </si>
  <si>
    <t>X3</t>
  </si>
  <si>
    <t>CMOS_OSC</t>
  </si>
  <si>
    <t>KC2016Z33.0000C1KX00</t>
  </si>
  <si>
    <t>Amount you are budgeting for</t>
  </si>
  <si>
    <t>Sandpaper</t>
  </si>
  <si>
    <t>https://www.amazon.com/Sandpaper-Waterproof-Furniture-Finishing-Automotive/dp/B07KV3VX97/ref=sr_1_5?crid=2TQ3RWKSTQ9UX&amp;dib=eyJ2IjoiMSJ9.V00WNLBrzu--l_MpcyKsnepnPbB9z1eURv-kI1g9qWda7IHKKmlzYG9crSuGpN-hEN8sZHcyWrcMa2__vs6jJ6DgnlVbmO4QuFxh7k4zunhF0qoWB7UN-oSOGL0zqNTjx93nVdiOeimr-Yi1OdLWM38XFwPvQU-qbKt2tW23H2UgoyuuzgOBvA6mN6kF32fK2Ym69E8MmJYaPI4WEVWkHvtMPW2TAbG12pqqoKiAPA0.U5FRp2MO7QFgQkgHZZVucJSXz4Mrioy8lrjqABo-0F4&amp;dib_tag=se&amp;keywords=sandpaper+kit+lapping&amp;qid=1756063882&amp;sprefix=sandpaper+kit+lapping%2Caps%2C231&amp;sr=8-5</t>
  </si>
  <si>
    <t>IF YOU DON"T PUT LINKS I WILL MURK YOU</t>
  </si>
  <si>
    <t>Lapping Kits</t>
  </si>
  <si>
    <t>https://www.amazon.com/3M-TM-Microfinishing-Sharpening-Aluminum/dp/B07TDMS1H8/ref=sr_1_3?crid=2TQ3RWKSTQ9UX&amp;dib=eyJ2IjoiMSJ9.V00WNLBrzu--l_MpcyKsnepnPbB9z1eURv-kI1g9qWda7IHKKmlzYG9crSuGpN-hEN8sZHcyWrcMa2__vs6jJ6DgnlVbmO4QuFxh7k4zunhF0qoWB7UN-oSOGL0zqNTjx93nVdiOeimr-Yi1OdLWM38XFwPvQU-qbKt2tW23H2UgoyuuzgOBvA6mN6kF32fK2Ym69E8MmJYaPI4WEVWkHvtMPW2TAbG12pqqoKiAPA0.U5FRp2MO7QFgQkgHZZVucJSXz4Mrioy8lrjqABo-0F4&amp;dib_tag=se&amp;keywords=sandpaper+kit+lapping&amp;qid=1756063882&amp;sprefix=sandpaper+kit+lapping%2Caps%2C231&amp;sr=8-3</t>
  </si>
  <si>
    <t>Side Note</t>
  </si>
  <si>
    <t>Izaiah's Quote</t>
  </si>
  <si>
    <t>Project Manager Stipend</t>
  </si>
  <si>
    <t>Team Members Stipend (Tentative) [Extra Room in Budget]</t>
  </si>
  <si>
    <t>$50-$80</t>
  </si>
  <si>
    <t>Test Display (2.8'')</t>
  </si>
  <si>
    <t>https://www.amazon.com/JESSINIE-Display-ILI9341-Monitor-240x320/dp/B0B7MJK826/ref=asc_df_B0B7MJK826?mcid=2e6f17e946373d77978727678a44b0d9&amp;hvocijid=312990328334205836-B0B7MJK826-&amp;hvexpln=73&amp;tag=hyprod-20&amp;linkCode=df0&amp;hvadid=721245378154&amp;hvpos=&amp;hvnetw=g&amp;hvrand=312990328334205836&amp;hvpone=&amp;hvptwo=&amp;hvqmt=&amp;hvdev=c&amp;hvdvcmdl=&amp;hvlocint=&amp;hvlocphy=9032181&amp;hvtargid=pla-2281435177618&amp;psc=1</t>
  </si>
  <si>
    <t>Display</t>
  </si>
  <si>
    <t>Additional Equipment/Components (Budget Room)</t>
  </si>
  <si>
    <t>Higher Grit Sandpaper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</si>
</sst>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&quot;$&quot;#,##0.00"/>
  </numFmts>
  <fonts count="33">
    <font>
      <sz val="10.0"/>
      <color rgb="FF000000"/>
      <name val="Arial"/>
      <scheme val="minor"/>
    </font>
    <font>
      <b/>
      <sz val="18.0"/>
      <color rgb="FFCEB888"/>
      <name val="&quot;Book Antiqua&quot;"/>
    </font>
    <font/>
    <font>
      <b/>
      <sz val="12.0"/>
      <color rgb="FF000000"/>
      <name val="&quot;Book Antiqua&quot;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&quot;Book Antiqua&quot;"/>
    </font>
    <font>
      <b/>
      <color theme="1"/>
      <name val="Arial"/>
    </font>
    <font>
      <color theme="1"/>
      <name val="Arial"/>
    </font>
    <font>
      <sz val="12.0"/>
      <color rgb="FF000000"/>
      <name val="Fira Sans Extra Condensed"/>
    </font>
    <font>
      <sz val="12.0"/>
      <color rgb="FF000000"/>
      <name val="&quot;Fira Sans Extra Condensed&quot;"/>
    </font>
    <font>
      <sz val="11.0"/>
      <color rgb="FF222222"/>
      <name val="ArialMT"/>
    </font>
    <font>
      <sz val="12.0"/>
      <color theme="1"/>
      <name val="Fira Sans Extra Condensed"/>
    </font>
    <font>
      <u/>
      <color rgb="FF0000FF"/>
      <name val="Roboto"/>
    </font>
    <font>
      <u/>
      <sz val="12.0"/>
      <color rgb="FF0000FF"/>
      <name val="&quot;Fira Sans Extra Condensed&quot;"/>
    </font>
    <font>
      <sz val="12.0"/>
      <color theme="1"/>
      <name val="&quot;Fira Sans Extra Condensed&quot;"/>
    </font>
    <font>
      <u/>
      <sz val="12.0"/>
      <color rgb="FF0000FF"/>
      <name val="Fira Sans Extra Condensed"/>
    </font>
    <font>
      <u/>
      <sz val="12.0"/>
      <color rgb="FF0000FF"/>
      <name val="&quot;Fira Sans Extra Condensed&quot;"/>
    </font>
    <font>
      <b/>
      <sz val="12.0"/>
      <color theme="1"/>
      <name val="Book Antiqua"/>
    </font>
    <font>
      <u/>
      <sz val="12.0"/>
      <color rgb="FF0000FF"/>
      <name val="Fira Sans Extra Condensed"/>
    </font>
    <font>
      <b/>
      <sz val="12.0"/>
      <color rgb="FFCEB888"/>
      <name val="&quot;Book Antiqua&quot;"/>
    </font>
    <font>
      <color rgb="FF0F1111"/>
      <name val="&quot;Amazon Ember&quot;"/>
    </font>
    <font>
      <u/>
      <color rgb="FF0000FF"/>
      <name val="Roboto"/>
    </font>
    <font>
      <sz val="27.0"/>
      <color rgb="FF2F6CC0"/>
      <name val="&quot;Fira Sans Extra Condensed&quot;"/>
    </font>
    <font>
      <sz val="11.0"/>
      <color rgb="FF0F1111"/>
      <name val="&quot;Amazon Ember&quot;"/>
    </font>
    <font>
      <u/>
      <sz val="12.0"/>
      <color rgb="FF0000FF"/>
      <name val="&quot;Fira Sans Extra Condensed&quot;"/>
    </font>
    <font>
      <sz val="11.0"/>
      <color rgb="FF000000"/>
      <name val="&quot;Aptos Narrow&quot;"/>
    </font>
    <font>
      <u/>
      <sz val="12.0"/>
      <color rgb="FF0000FF"/>
      <name val="Fira Sans Extra Condensed"/>
    </font>
    <font>
      <u/>
      <sz val="12.0"/>
      <color rgb="FF1155CC"/>
      <name val="Fira Sans Extra Condensed"/>
    </font>
    <font>
      <sz val="11.0"/>
      <color rgb="FF000000"/>
      <name val="Arial"/>
    </font>
    <font>
      <u/>
      <color rgb="FF0000FF"/>
      <name val="Arial"/>
    </font>
    <font>
      <color rgb="FFFF0000"/>
      <name val="Arial"/>
      <scheme val="minor"/>
    </font>
    <font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1F8FF"/>
        <bgColor rgb="FFF1F8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57B8"/>
        <bgColor rgb="FF0057B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bottom" wrapText="0"/>
    </xf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 shrinkToFit="0" vertical="bottom" wrapText="0"/>
    </xf>
    <xf borderId="0" fillId="0" fontId="4" numFmtId="164" xfId="0" applyAlignment="1" applyFont="1" applyNumberFormat="1">
      <alignment readingOrder="0"/>
    </xf>
    <xf borderId="1" fillId="3" fontId="6" numFmtId="0" xfId="0" applyAlignment="1" applyBorder="1" applyFill="1" applyFont="1">
      <alignment readingOrder="0" shrinkToFit="0" vertical="bottom" wrapText="0"/>
    </xf>
    <xf borderId="0" fillId="0" fontId="7" numFmtId="0" xfId="0" applyAlignment="1" applyFont="1">
      <alignment horizontal="center" vertical="bottom"/>
    </xf>
    <xf borderId="0" fillId="0" fontId="8" numFmtId="164" xfId="0" applyAlignment="1" applyFont="1" applyNumberFormat="1">
      <alignment vertical="bottom"/>
    </xf>
    <xf borderId="1" fillId="0" fontId="9" numFmtId="0" xfId="0" applyAlignment="1" applyBorder="1" applyFont="1">
      <alignment horizontal="left" readingOrder="0" shrinkToFit="0" vertical="bottom" wrapText="0"/>
    </xf>
    <xf borderId="1" fillId="0" fontId="10" numFmtId="0" xfId="0" applyAlignment="1" applyBorder="1" applyFont="1">
      <alignment horizontal="center" readingOrder="0"/>
    </xf>
    <xf borderId="0" fillId="4" fontId="11" numFmtId="164" xfId="0" applyAlignment="1" applyFill="1" applyFont="1" applyNumberFormat="1">
      <alignment horizontal="left" readingOrder="0"/>
    </xf>
    <xf borderId="4" fillId="0" fontId="10" numFmtId="0" xfId="0" applyAlignment="1" applyBorder="1" applyFont="1">
      <alignment horizontal="right" readingOrder="0"/>
    </xf>
    <xf borderId="0" fillId="0" fontId="8" numFmtId="0" xfId="0" applyAlignment="1" applyFont="1">
      <alignment vertical="bottom"/>
    </xf>
    <xf borderId="0" fillId="4" fontId="11" numFmtId="164" xfId="0" applyAlignment="1" applyFill="1" applyFont="1" applyNumberFormat="1">
      <alignment vertical="bottom"/>
    </xf>
    <xf borderId="2" fillId="0" fontId="12" numFmtId="165" xfId="0" applyAlignment="1" applyBorder="1" applyFont="1" applyNumberFormat="1">
      <alignment horizontal="right" vertical="bottom"/>
    </xf>
    <xf borderId="0" fillId="4" fontId="11" numFmtId="164" xfId="0" applyAlignment="1" applyFill="1" applyFont="1" applyNumberFormat="1">
      <alignment horizontal="left" readingOrder="0"/>
    </xf>
    <xf borderId="2" fillId="0" fontId="9" numFmtId="165" xfId="0" applyAlignment="1" applyBorder="1" applyFont="1" applyNumberFormat="1">
      <alignment readingOrder="0" shrinkToFit="0" vertical="bottom" wrapText="0"/>
    </xf>
    <xf borderId="0" fillId="4" fontId="11" numFmtId="164" xfId="0" applyAlignment="1" applyFill="1" applyFont="1" applyNumberFormat="1">
      <alignment vertical="bottom"/>
    </xf>
    <xf borderId="5" fillId="3" fontId="6" numFmtId="0" xfId="0" applyAlignment="1" applyBorder="1" applyFill="1" applyFont="1">
      <alignment readingOrder="0" shrinkToFit="0" vertical="bottom" wrapText="0"/>
    </xf>
    <xf borderId="0" fillId="4" fontId="11" numFmtId="164" xfId="0" applyAlignment="1" applyFill="1" applyFont="1" applyNumberFormat="1">
      <alignment horizontal="left" readingOrder="0"/>
    </xf>
    <xf borderId="0" fillId="0" fontId="5" numFmtId="0" xfId="0" applyAlignment="1" applyFont="1">
      <alignment readingOrder="0"/>
    </xf>
    <xf borderId="0" fillId="4" fontId="11" numFmtId="164" xfId="0" applyAlignment="1" applyFill="1" applyFont="1" applyNumberFormat="1">
      <alignment vertical="bottom"/>
    </xf>
    <xf borderId="0" fillId="4" fontId="11" numFmtId="164" xfId="0" applyAlignment="1" applyFill="1" applyFont="1" applyNumberFormat="1">
      <alignment horizontal="left" readingOrder="0"/>
    </xf>
    <xf borderId="0" fillId="4" fontId="11" numFmtId="164" xfId="0" applyAlignment="1" applyFill="1" applyFont="1" applyNumberFormat="1">
      <alignment vertical="bottom"/>
    </xf>
    <xf borderId="0" fillId="4" fontId="11" numFmtId="164" xfId="0" applyAlignment="1" applyFill="1" applyFont="1" applyNumberFormat="1">
      <alignment horizontal="left" readingOrder="0"/>
    </xf>
    <xf borderId="0" fillId="4" fontId="11" numFmtId="164" xfId="0" applyAlignment="1" applyFill="1" applyFont="1" applyNumberFormat="1">
      <alignment vertical="bottom"/>
    </xf>
    <xf borderId="2" fillId="0" fontId="12" numFmtId="165" xfId="0" applyAlignment="1" applyBorder="1" applyFont="1" applyNumberFormat="1">
      <alignment horizontal="right" readingOrder="0" vertical="bottom"/>
    </xf>
    <xf borderId="0" fillId="3" fontId="11" numFmtId="164" xfId="0" applyAlignment="1" applyFill="1" applyFont="1" applyNumberFormat="1">
      <alignment horizontal="left" readingOrder="0"/>
    </xf>
    <xf borderId="6" fillId="3" fontId="6" numFmtId="0" xfId="0" applyAlignment="1" applyBorder="1" applyFill="1" applyFont="1">
      <alignment shrinkToFit="0" vertical="bottom" wrapText="0"/>
    </xf>
    <xf borderId="1" fillId="5" fontId="10" numFmtId="0" xfId="0" applyAlignment="1" applyBorder="1" applyFill="1" applyFont="1">
      <alignment horizontal="center" readingOrder="0"/>
    </xf>
    <xf borderId="7" fillId="3" fontId="6" numFmtId="0" xfId="0" applyAlignment="1" applyBorder="1" applyFill="1" applyFont="1">
      <alignment readingOrder="0" shrinkToFit="0" vertical="bottom" wrapText="0"/>
    </xf>
    <xf borderId="0" fillId="3" fontId="11" numFmtId="164" xfId="0" applyAlignment="1" applyFill="1" applyFont="1" applyNumberFormat="1">
      <alignment vertical="bottom"/>
    </xf>
    <xf borderId="8" fillId="0" fontId="2" numFmtId="0" xfId="0" applyBorder="1" applyFont="1"/>
    <xf borderId="0" fillId="4" fontId="11" numFmtId="164" xfId="0" applyAlignment="1" applyFill="1" applyFont="1" applyNumberFormat="1">
      <alignment horizontal="left" readingOrder="0"/>
    </xf>
    <xf borderId="4" fillId="5" fontId="10" numFmtId="0" xfId="0" applyAlignment="1" applyBorder="1" applyFill="1" applyFont="1">
      <alignment horizontal="right" readingOrder="0"/>
    </xf>
    <xf borderId="0" fillId="0" fontId="8" numFmtId="0" xfId="0" applyAlignment="1" applyFont="1">
      <alignment horizontal="right" vertical="bottom"/>
    </xf>
    <xf borderId="0" fillId="4" fontId="11" numFmtId="164" xfId="0" applyAlignment="1" applyFill="1" applyFont="1" applyNumberFormat="1">
      <alignment vertical="bottom"/>
    </xf>
    <xf borderId="2" fillId="5" fontId="12" numFmtId="165" xfId="0" applyAlignment="1" applyBorder="1" applyFill="1" applyFont="1" applyNumberFormat="1">
      <alignment horizontal="right" vertical="bottom"/>
    </xf>
    <xf borderId="0" fillId="4" fontId="11" numFmtId="164" xfId="0" applyAlignment="1" applyFill="1" applyFont="1" applyNumberFormat="1">
      <alignment horizontal="left" readingOrder="0"/>
    </xf>
    <xf borderId="0" fillId="4" fontId="11" numFmtId="164" xfId="0" applyAlignment="1" applyFill="1" applyFont="1" applyNumberFormat="1">
      <alignment vertical="bottom"/>
    </xf>
    <xf borderId="9" fillId="3" fontId="6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0" fillId="4" fontId="11" numFmtId="164" xfId="0" applyAlignment="1" applyFill="1" applyFont="1" applyNumberFormat="1">
      <alignment horizontal="left" readingOrder="0"/>
    </xf>
    <xf borderId="0" fillId="4" fontId="11" numFmtId="164" xfId="0" applyAlignment="1" applyFill="1" applyFont="1" applyNumberFormat="1">
      <alignment vertical="bottom"/>
    </xf>
    <xf borderId="0" fillId="4" fontId="11" numFmtId="164" xfId="0" applyAlignment="1" applyFill="1" applyFont="1" applyNumberFormat="1">
      <alignment horizontal="left" readingOrder="0"/>
    </xf>
    <xf borderId="1" fillId="6" fontId="10" numFmtId="0" xfId="0" applyAlignment="1" applyBorder="1" applyFill="1" applyFont="1">
      <alignment horizontal="center" readingOrder="0"/>
    </xf>
    <xf borderId="0" fillId="4" fontId="11" numFmtId="164" xfId="0" applyAlignment="1" applyFill="1" applyFont="1" applyNumberFormat="1">
      <alignment vertical="bottom"/>
    </xf>
    <xf borderId="0" fillId="0" fontId="4" numFmtId="0" xfId="0" applyAlignment="1" applyFont="1">
      <alignment horizontal="left" readingOrder="0" shrinkToFit="0" vertical="center" wrapText="1"/>
    </xf>
    <xf borderId="4" fillId="6" fontId="10" numFmtId="0" xfId="0" applyAlignment="1" applyBorder="1" applyFill="1" applyFont="1">
      <alignment horizontal="right" readingOrder="0"/>
    </xf>
    <xf borderId="1" fillId="2" fontId="9" numFmtId="0" xfId="0" applyAlignment="1" applyBorder="1" applyFill="1" applyFont="1">
      <alignment horizontal="left" readingOrder="0" shrinkToFit="0" vertical="bottom" wrapText="0"/>
    </xf>
    <xf borderId="2" fillId="6" fontId="12" numFmtId="165" xfId="0" applyAlignment="1" applyBorder="1" applyFill="1" applyFont="1" applyNumberFormat="1">
      <alignment horizontal="right" vertical="bottom"/>
    </xf>
    <xf borderId="0" fillId="0" fontId="4" numFmtId="0" xfId="0" applyAlignment="1" applyFont="1">
      <alignment shrinkToFit="0" vertical="center" wrapText="0"/>
    </xf>
    <xf borderId="1" fillId="2" fontId="10" numFmtId="0" xfId="0" applyAlignment="1" applyBorder="1" applyFill="1" applyFont="1">
      <alignment horizontal="center" readingOrder="0"/>
    </xf>
    <xf borderId="4" fillId="2" fontId="10" numFmtId="0" xfId="0" applyAlignment="1" applyBorder="1" applyFill="1" applyFont="1">
      <alignment horizontal="right" readingOrder="0"/>
    </xf>
    <xf borderId="0" fillId="0" fontId="4" numFmtId="0" xfId="0" applyAlignment="1" applyFont="1">
      <alignment readingOrder="0" shrinkToFit="0" vertical="center" wrapText="0"/>
    </xf>
    <xf borderId="2" fillId="2" fontId="12" numFmtId="165" xfId="0" applyAlignment="1" applyBorder="1" applyFill="1" applyFont="1" applyNumberFormat="1">
      <alignment horizontal="right" readingOrder="0" vertical="bottom"/>
    </xf>
    <xf borderId="0" fillId="4" fontId="11" numFmtId="164" xfId="0" applyAlignment="1" applyFill="1" applyFont="1" applyNumberFormat="1">
      <alignment horizontal="left" readingOrder="0"/>
    </xf>
    <xf borderId="2" fillId="2" fontId="9" numFmtId="165" xfId="0" applyAlignment="1" applyBorder="1" applyFill="1" applyFont="1" applyNumberFormat="1">
      <alignment readingOrder="0" shrinkToFit="0" vertical="bottom" wrapText="0"/>
    </xf>
    <xf borderId="0" fillId="4" fontId="11" numFmtId="164" xfId="0" applyAlignment="1" applyFill="1" applyFont="1" applyNumberFormat="1">
      <alignment vertical="bottom"/>
    </xf>
    <xf borderId="10" fillId="3" fontId="6" numFmtId="0" xfId="0" applyAlignment="1" applyBorder="1" applyFill="1" applyFont="1">
      <alignment shrinkToFit="0" vertical="bottom" wrapText="0"/>
    </xf>
    <xf borderId="11" fillId="3" fontId="6" numFmtId="0" xfId="0" applyAlignment="1" applyBorder="1" applyFill="1" applyFont="1">
      <alignment readingOrder="0" shrinkToFit="0" vertical="bottom" wrapText="0"/>
    </xf>
    <xf borderId="12" fillId="0" fontId="2" numFmtId="0" xfId="0" applyBorder="1" applyFont="1"/>
    <xf borderId="0" fillId="0" fontId="11" numFmtId="164" xfId="0" applyAlignment="1" applyFont="1" applyNumberFormat="1">
      <alignment horizontal="left" readingOrder="0"/>
    </xf>
    <xf borderId="0" fillId="0" fontId="11" numFmtId="164" xfId="0" applyAlignment="1" applyFont="1" applyNumberFormat="1">
      <alignment vertical="bottom"/>
    </xf>
    <xf borderId="7" fillId="3" fontId="6" numFmtId="0" xfId="0" applyAlignment="1" applyBorder="1" applyFill="1" applyFont="1">
      <alignment horizontal="left" readingOrder="0" vertical="bottom"/>
    </xf>
    <xf borderId="13" fillId="0" fontId="2" numFmtId="0" xfId="0" applyBorder="1" applyFont="1"/>
    <xf borderId="0" fillId="4" fontId="11" numFmtId="164" xfId="0" applyAlignment="1" applyFill="1" applyFont="1" applyNumberFormat="1">
      <alignment horizontal="left" readingOrder="0"/>
    </xf>
    <xf borderId="0" fillId="4" fontId="11" numFmtId="164" xfId="0" applyAlignment="1" applyFill="1" applyFont="1" applyNumberFormat="1">
      <alignment vertical="bottom"/>
    </xf>
    <xf borderId="9" fillId="0" fontId="2" numFmtId="0" xfId="0" applyBorder="1" applyFont="1"/>
    <xf borderId="14" fillId="0" fontId="2" numFmtId="0" xfId="0" applyBorder="1" applyFont="1"/>
    <xf borderId="11" fillId="0" fontId="2" numFmtId="0" xfId="0" applyBorder="1" applyFont="1"/>
    <xf borderId="0" fillId="4" fontId="11" numFmtId="164" xfId="0" applyAlignment="1" applyFill="1" applyFont="1" applyNumberFormat="1">
      <alignment horizontal="left" readingOrder="0"/>
    </xf>
    <xf borderId="15" fillId="0" fontId="2" numFmtId="0" xfId="0" applyBorder="1" applyFont="1"/>
    <xf borderId="0" fillId="4" fontId="11" numFmtId="164" xfId="0" applyAlignment="1" applyFill="1" applyFont="1" applyNumberFormat="1">
      <alignment vertical="bottom"/>
    </xf>
    <xf borderId="0" fillId="0" fontId="13" numFmtId="0" xfId="0" applyAlignment="1" applyFont="1">
      <alignment shrinkToFit="0" vertical="center" wrapText="0"/>
    </xf>
    <xf borderId="0" fillId="0" fontId="8" numFmtId="164" xfId="0" applyAlignment="1" applyFont="1" applyNumberFormat="1">
      <alignment horizontal="right" vertical="bottom"/>
    </xf>
    <xf borderId="0" fillId="0" fontId="4" numFmtId="164" xfId="0" applyFont="1" applyNumberFormat="1"/>
    <xf borderId="0" fillId="0" fontId="4" numFmtId="165" xfId="0" applyAlignment="1" applyFont="1" applyNumberFormat="1">
      <alignment shrinkToFit="0" vertical="center" wrapText="0"/>
    </xf>
    <xf borderId="10" fillId="3" fontId="6" numFmtId="0" xfId="0" applyAlignment="1" applyBorder="1" applyFill="1" applyFont="1">
      <alignment readingOrder="0" shrinkToFit="0" vertical="bottom" wrapText="0"/>
    </xf>
    <xf borderId="2" fillId="3" fontId="6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center" wrapText="1"/>
    </xf>
    <xf borderId="3" fillId="3" fontId="6" numFmtId="0" xfId="0" applyAlignment="1" applyBorder="1" applyFill="1" applyFont="1">
      <alignment shrinkToFit="0" vertical="bottom" wrapText="0"/>
    </xf>
    <xf borderId="1" fillId="0" fontId="14" numFmtId="0" xfId="0" applyAlignment="1" applyBorder="1" applyFont="1">
      <alignment horizontal="center" readingOrder="0"/>
    </xf>
    <xf borderId="4" fillId="3" fontId="6" numFmtId="0" xfId="0" applyAlignment="1" applyBorder="1" applyFill="1" applyFont="1">
      <alignment readingOrder="0"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16" fillId="0" fontId="3" numFmtId="0" xfId="0" applyAlignment="1" applyBorder="1" applyFont="1">
      <alignment horizontal="right" shrinkToFit="0" vertical="bottom" wrapText="0"/>
    </xf>
    <xf borderId="17" fillId="0" fontId="2" numFmtId="0" xfId="0" applyBorder="1" applyFont="1"/>
    <xf borderId="11" fillId="0" fontId="6" numFmtId="0" xfId="0" applyAlignment="1" applyBorder="1" applyFont="1">
      <alignment shrinkToFit="0" vertical="bottom" wrapText="0"/>
    </xf>
    <xf borderId="1" fillId="6" fontId="15" numFmtId="0" xfId="0" applyAlignment="1" applyBorder="1" applyFill="1" applyFont="1">
      <alignment horizontal="center" readingOrder="0"/>
    </xf>
    <xf borderId="18" fillId="0" fontId="3" numFmtId="0" xfId="0" applyAlignment="1" applyBorder="1" applyFont="1">
      <alignment readingOrder="0" shrinkToFit="0" vertical="bottom" wrapText="0"/>
    </xf>
    <xf borderId="12" fillId="0" fontId="6" numFmtId="165" xfId="0" applyAlignment="1" applyBorder="1" applyFont="1" applyNumberFormat="1">
      <alignment horizontal="right" readingOrder="0" shrinkToFit="0" vertical="bottom" wrapText="0"/>
    </xf>
    <xf borderId="2" fillId="6" fontId="12" numFmtId="165" xfId="0" applyAlignment="1" applyBorder="1" applyFill="1" applyFont="1" applyNumberFormat="1">
      <alignment horizontal="right" readingOrder="0" vertical="bottom"/>
    </xf>
    <xf borderId="8" fillId="0" fontId="8" numFmtId="165" xfId="0" applyAlignment="1" applyBorder="1" applyFont="1" applyNumberFormat="1">
      <alignment vertical="bottom"/>
    </xf>
    <xf borderId="1" fillId="0" fontId="15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2" numFmtId="165" xfId="0" applyAlignment="1" applyBorder="1" applyFont="1" applyNumberFormat="1">
      <alignment horizontal="right" readingOrder="0" vertical="bottom"/>
    </xf>
    <xf borderId="1" fillId="0" fontId="1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1" fillId="8" fontId="10" numFmtId="0" xfId="0" applyAlignment="1" applyBorder="1" applyFill="1" applyFont="1">
      <alignment horizontal="center" readingOrder="0"/>
    </xf>
    <xf borderId="2" fillId="0" fontId="6" numFmtId="165" xfId="0" applyAlignment="1" applyBorder="1" applyFont="1" applyNumberFormat="1">
      <alignment readingOrder="0" shrinkToFit="0" vertical="bottom" wrapText="0"/>
    </xf>
    <xf borderId="1" fillId="8" fontId="17" numFmtId="0" xfId="0" applyAlignment="1" applyBorder="1" applyFill="1" applyFont="1">
      <alignment horizontal="center" readingOrder="0"/>
    </xf>
    <xf borderId="4" fillId="8" fontId="10" numFmtId="0" xfId="0" applyAlignment="1" applyBorder="1" applyFill="1" applyFont="1">
      <alignment horizontal="right" readingOrder="0"/>
    </xf>
    <xf borderId="2" fillId="8" fontId="12" numFmtId="165" xfId="0" applyAlignment="1" applyBorder="1" applyFill="1" applyFont="1" applyNumberFormat="1">
      <alignment horizontal="right" readingOrder="0" vertical="bottom"/>
    </xf>
    <xf borderId="12" fillId="0" fontId="6" numFmtId="165" xfId="0" applyAlignment="1" applyBorder="1" applyFont="1" applyNumberFormat="1">
      <alignment horizontal="right" readingOrder="0" shrinkToFit="0" vertical="bottom" wrapText="0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horizontal="center" readingOrder="0" vertical="bottom"/>
    </xf>
    <xf borderId="2" fillId="0" fontId="18" numFmtId="0" xfId="0" applyAlignment="1" applyBorder="1" applyFont="1">
      <alignment horizontal="center" vertical="bottom"/>
    </xf>
    <xf borderId="2" fillId="0" fontId="18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right" vertical="bottom"/>
    </xf>
    <xf borderId="1" fillId="0" fontId="12" numFmtId="165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2" fillId="0" fontId="8" numFmtId="165" xfId="0" applyAlignment="1" applyBorder="1" applyFont="1" applyNumberFormat="1">
      <alignment vertical="bottom"/>
    </xf>
    <xf borderId="1" fillId="0" fontId="19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right" shrinkToFit="0" vertical="bottom" wrapText="0"/>
    </xf>
    <xf borderId="1" fillId="7" fontId="20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4" fillId="0" fontId="6" numFmtId="165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4" fillId="0" fontId="6" numFmtId="165" xfId="0" applyAlignment="1" applyBorder="1" applyFont="1" applyNumberForma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3" fontId="21" numFmtId="0" xfId="0" applyAlignment="1" applyFill="1" applyFon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0" fontId="23" numFmtId="0" xfId="0" applyAlignment="1" applyFont="1">
      <alignment horizontal="center" readingOrder="0"/>
    </xf>
    <xf borderId="0" fillId="3" fontId="24" numFmtId="0" xfId="0" applyAlignment="1" applyFill="1" applyFont="1">
      <alignment shrinkToFit="0" vertical="center" wrapText="0"/>
    </xf>
    <xf borderId="1" fillId="9" fontId="10" numFmtId="0" xfId="0" applyAlignment="1" applyBorder="1" applyFill="1" applyFont="1">
      <alignment horizontal="center" readingOrder="0"/>
    </xf>
    <xf borderId="1" fillId="9" fontId="25" numFmtId="0" xfId="0" applyAlignment="1" applyBorder="1" applyFill="1" applyFont="1">
      <alignment horizontal="center" readingOrder="0"/>
    </xf>
    <xf borderId="5" fillId="9" fontId="6" numFmtId="0" xfId="0" applyAlignment="1" applyBorder="1" applyFill="1" applyFont="1">
      <alignment readingOrder="0" shrinkToFit="0" vertical="bottom" wrapText="0"/>
    </xf>
    <xf borderId="2" fillId="9" fontId="12" numFmtId="165" xfId="0" applyAlignment="1" applyBorder="1" applyFill="1" applyFont="1" applyNumberFormat="1">
      <alignment horizontal="right" readingOrder="0" vertical="bottom"/>
    </xf>
    <xf borderId="4" fillId="2" fontId="9" numFmtId="0" xfId="0" applyAlignment="1" applyBorder="1" applyFill="1" applyFont="1">
      <alignment horizontal="left" readingOrder="0" shrinkToFit="0" vertical="bottom" wrapText="0"/>
    </xf>
    <xf borderId="4" fillId="2" fontId="10" numFmtId="0" xfId="0" applyAlignment="1" applyBorder="1" applyFill="1" applyFont="1">
      <alignment horizontal="center" readingOrder="0"/>
    </xf>
    <xf borderId="4" fillId="2" fontId="12" numFmtId="165" xfId="0" applyAlignment="1" applyBorder="1" applyFill="1" applyFont="1" applyNumberFormat="1">
      <alignment horizontal="right" readingOrder="0" vertical="bottom"/>
    </xf>
    <xf borderId="11" fillId="0" fontId="3" numFmtId="0" xfId="0" applyAlignment="1" applyBorder="1" applyFont="1">
      <alignment readingOrder="0" shrinkToFit="0" vertical="bottom" wrapText="0"/>
    </xf>
    <xf borderId="4" fillId="2" fontId="9" numFmtId="165" xfId="0" applyAlignment="1" applyBorder="1" applyFill="1" applyFont="1" applyNumberFormat="1">
      <alignment readingOrder="0" shrinkToFit="0" vertical="bottom" wrapText="0"/>
    </xf>
    <xf borderId="4" fillId="0" fontId="9" numFmtId="0" xfId="0" applyAlignment="1" applyBorder="1" applyFont="1">
      <alignment horizontal="left" readingOrder="0" shrinkToFit="0" vertical="bottom" wrapText="0"/>
    </xf>
    <xf borderId="4" fillId="0" fontId="12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readingOrder="0" vertical="bottom"/>
    </xf>
    <xf borderId="4" fillId="0" fontId="8" numFmtId="165" xfId="0" applyAlignment="1" applyBorder="1" applyFont="1" applyNumberFormat="1">
      <alignment vertical="bottom"/>
    </xf>
    <xf borderId="4" fillId="0" fontId="12" numFmtId="0" xfId="0" applyAlignment="1" applyBorder="1" applyFont="1">
      <alignment horizontal="center" vertical="bottom"/>
    </xf>
    <xf borderId="4" fillId="0" fontId="12" numFmtId="165" xfId="0" applyAlignment="1" applyBorder="1" applyFont="1" applyNumberFormat="1">
      <alignment horizontal="right" vertical="bottom"/>
    </xf>
    <xf borderId="0" fillId="0" fontId="4" numFmtId="0" xfId="0" applyFont="1"/>
    <xf borderId="4" fillId="0" fontId="10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/>
    </xf>
    <xf borderId="4" fillId="0" fontId="9" numFmtId="165" xfId="0" applyAlignment="1" applyBorder="1" applyFont="1" applyNumberFormat="1">
      <alignment readingOrder="0" shrinkToFit="0" vertical="bottom" wrapText="0"/>
    </xf>
    <xf borderId="4" fillId="0" fontId="12" numFmtId="165" xfId="0" applyAlignment="1" applyBorder="1" applyFont="1" applyNumberFormat="1">
      <alignment horizontal="right" readingOrder="0" vertical="bottom"/>
    </xf>
    <xf borderId="4" fillId="0" fontId="15" numFmtId="0" xfId="0" applyAlignment="1" applyBorder="1" applyFont="1">
      <alignment horizontal="center" readingOrder="0"/>
    </xf>
    <xf borderId="1" fillId="5" fontId="9" numFmtId="0" xfId="0" applyAlignment="1" applyBorder="1" applyFill="1" applyFont="1">
      <alignment horizontal="left" readingOrder="0" shrinkToFit="0" vertical="bottom" wrapText="0"/>
    </xf>
    <xf borderId="1" fillId="5" fontId="9" numFmtId="0" xfId="0" applyAlignment="1" applyBorder="1" applyFill="1" applyFont="1">
      <alignment horizontal="center" readingOrder="0" shrinkToFit="0" vertical="bottom" wrapText="0"/>
    </xf>
    <xf borderId="1" fillId="5" fontId="12" numFmtId="165" xfId="0" applyAlignment="1" applyBorder="1" applyFill="1" applyFont="1" applyNumberFormat="1">
      <alignment horizontal="right" readingOrder="0" vertical="bottom"/>
    </xf>
    <xf borderId="0" fillId="0" fontId="26" numFmtId="0" xfId="0" applyAlignment="1" applyFont="1">
      <alignment readingOrder="0" shrinkToFit="0" vertical="bottom" wrapText="0"/>
    </xf>
    <xf borderId="1" fillId="5" fontId="27" numFmtId="0" xfId="0" applyAlignment="1" applyBorder="1" applyFill="1" applyFont="1">
      <alignment horizontal="center" readingOrder="0" shrinkToFit="0" vertical="bottom" wrapText="0"/>
    </xf>
    <xf borderId="0" fillId="0" fontId="26" numFmtId="0" xfId="0" applyAlignment="1" applyFont="1">
      <alignment horizontal="right" readingOrder="0" shrinkToFit="0" vertical="bottom" wrapText="0"/>
    </xf>
    <xf borderId="0" fillId="0" fontId="26" numFmtId="0" xfId="0" applyAlignment="1" applyFont="1">
      <alignment shrinkToFit="0" vertical="bottom" wrapText="0"/>
    </xf>
    <xf borderId="4" fillId="5" fontId="6" numFmtId="0" xfId="0" applyAlignment="1" applyBorder="1" applyFill="1" applyFont="1">
      <alignment readingOrder="0" shrinkToFit="0" vertical="bottom" wrapText="0"/>
    </xf>
    <xf borderId="4" fillId="0" fontId="28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 shrinkToFit="0" vertical="bottom" wrapText="0"/>
    </xf>
    <xf borderId="4" fillId="0" fontId="12" numFmtId="0" xfId="0" applyAlignment="1" applyBorder="1" applyFont="1">
      <alignment horizontal="center" readingOrder="0" vertical="bottom"/>
    </xf>
    <xf borderId="0" fillId="0" fontId="29" numFmtId="0" xfId="0" applyAlignment="1" applyFont="1">
      <alignment readingOrder="0" shrinkToFit="0" vertical="bottom" wrapText="0"/>
    </xf>
    <xf borderId="4" fillId="0" fontId="12" numFmtId="0" xfId="0" applyAlignment="1" applyBorder="1" applyFont="1">
      <alignment horizontal="right" readingOrder="0" vertical="bottom"/>
    </xf>
    <xf borderId="2" fillId="2" fontId="12" numFmtId="165" xfId="0" applyAlignment="1" applyBorder="1" applyFill="1" applyFont="1" applyNumberFormat="1">
      <alignment horizontal="right" vertical="bottom"/>
    </xf>
    <xf borderId="1" fillId="0" fontId="30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left" shrinkToFit="0" vertical="bottom" wrapText="0"/>
    </xf>
    <xf borderId="0" fillId="5" fontId="31" numFmtId="0" xfId="0" applyAlignment="1" applyFill="1" applyFont="1">
      <alignment readingOrder="0"/>
    </xf>
    <xf borderId="0" fillId="5" fontId="4" numFmtId="0" xfId="0" applyFill="1" applyFont="1"/>
    <xf borderId="2" fillId="5" fontId="12" numFmtId="165" xfId="0" applyAlignment="1" applyBorder="1" applyFill="1" applyFont="1" applyNumberFormat="1">
      <alignment horizontal="right" readingOrder="0" vertical="bottom"/>
    </xf>
    <xf borderId="19" fillId="0" fontId="6" numFmtId="0" xfId="0" applyAlignment="1" applyBorder="1" applyFont="1">
      <alignment horizontal="left" shrinkToFit="0" vertical="bottom" wrapText="0"/>
    </xf>
    <xf borderId="20" fillId="0" fontId="2" numFmtId="0" xfId="0" applyBorder="1" applyFont="1"/>
    <xf borderId="19" fillId="0" fontId="6" numFmtId="0" xfId="0" applyAlignment="1" applyBorder="1" applyFont="1">
      <alignment shrinkToFit="0" vertical="bottom" wrapText="0"/>
    </xf>
    <xf borderId="21" fillId="0" fontId="2" numFmtId="0" xfId="0" applyBorder="1" applyFont="1"/>
    <xf borderId="5" fillId="0" fontId="6" numFmtId="0" xfId="0" applyAlignment="1" applyBorder="1" applyFont="1">
      <alignment shrinkToFit="0" vertical="bottom" wrapText="0"/>
    </xf>
    <xf borderId="20" fillId="0" fontId="8" numFmtId="165" xfId="0" applyAlignment="1" applyBorder="1" applyFont="1" applyNumberFormat="1">
      <alignment vertical="bottom"/>
    </xf>
    <xf borderId="22" fillId="0" fontId="8" numFmtId="165" xfId="0" applyAlignment="1" applyBorder="1" applyFont="1" applyNumberFormat="1">
      <alignment vertical="bottom"/>
    </xf>
    <xf borderId="22" fillId="0" fontId="2" numFmtId="0" xfId="0" applyBorder="1" applyFont="1"/>
    <xf borderId="23" fillId="0" fontId="2" numFmtId="0" xfId="0" applyBorder="1" applyFont="1"/>
    <xf borderId="20" fillId="0" fontId="6" numFmtId="165" xfId="0" applyAlignment="1" applyBorder="1" applyFont="1" applyNumberFormat="1">
      <alignment shrinkToFit="0" vertical="bottom" wrapText="0"/>
    </xf>
    <xf borderId="0" fillId="0" fontId="12" numFmtId="0" xfId="0" applyAlignment="1" applyFont="1">
      <alignment readingOrder="0"/>
    </xf>
    <xf borderId="7" fillId="0" fontId="12" numFmtId="165" xfId="0" applyAlignment="1" applyBorder="1" applyFont="1" applyNumberFormat="1">
      <alignment horizontal="right" readingOrder="0" vertical="bottom"/>
    </xf>
    <xf borderId="0" fillId="0" fontId="32" numFmtId="0" xfId="0" applyFont="1"/>
    <xf borderId="1" fillId="0" fontId="6" numFmtId="0" xfId="0" applyAlignment="1" applyBorder="1" applyFont="1">
      <alignment horizontal="left" shrinkToFit="0" vertical="bottom" wrapText="0"/>
    </xf>
    <xf borderId="1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2" fillId="0" fontId="6" numFmtId="165" xfId="0" applyAlignment="1" applyBorder="1" applyFont="1" applyNumberFormat="1">
      <alignment shrinkToFit="0" vertical="bottom" wrapText="0"/>
    </xf>
    <xf borderId="0" fillId="0" fontId="4" numFmtId="165" xfId="0" applyFont="1" applyNumberFormat="1"/>
    <xf borderId="4" fillId="0" fontId="9" numFmtId="0" xfId="0" applyAlignment="1" applyBorder="1" applyFont="1">
      <alignment horizontal="right" readingOrder="0" shrinkToFit="0" vertical="bottom" wrapText="0"/>
    </xf>
    <xf borderId="4" fillId="0" fontId="6" numFmtId="0" xfId="0" applyAlignment="1" applyBorder="1" applyFont="1">
      <alignment horizontal="right" readingOrder="0" shrinkToFit="0" vertical="bottom" wrapText="0"/>
    </xf>
    <xf borderId="1" fillId="0" fontId="12" numFmtId="0" xfId="0" applyAlignment="1" applyBorder="1" applyFont="1">
      <alignment horizontal="right" vertical="bottom"/>
    </xf>
    <xf borderId="10" fillId="0" fontId="3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1" fillId="0" fontId="6" numFmtId="165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4D7EF"/>
          <bgColor rgb="FFD4D7EF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5" pivot="0" name="Sheet7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uss C" id="{54be410f-55af-4b47-917c-012a0c01f503}" providerId="google-sheets"/>
  <x18tc:person displayName="CPP DIGITAL" id="{154c3982-8306-42be-93a3-03374e0f7b78}" providerId="google-sheets"/>
</x18tc:personList>
</file>

<file path=xl/tables/table1.xml><?xml version="1.0" encoding="utf-8"?>
<table xmlns="http://schemas.openxmlformats.org/spreadsheetml/2006/main" totalsRowCount="1" ref="A1:H13" displayName="Example_Dept" name="Example_Dept" id="1">
  <tableColumns count="8">
    <tableColumn name="Part Name" id="1"/>
    <tableColumn name="Description" id="2"/>
    <tableColumn name="Discord Name" id="3"/>
    <tableColumn name="Link" id="4"/>
    <tableColumn totalsRowFunction="custom" name="Price (USD)" id="5"/>
    <tableColumn totalsRowFunction="custom" name="W Tax+Shipping" id="6"/>
    <tableColumn name="Comments/Reasoning" id="7"/>
    <tableColumn name="Column 1" id="8"/>
  </tableColumns>
  <tableStyleInfo name="Sheet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" dT="2025-08-24T18:29:26.00" personId="{154c3982-8306-42be-93a3-03374e0f7b78}" id="{baade889-6a59-413a-9357-500f2075225b}" done="0">
    <x18tc:text xml:space="preserve">2nd Revision</x18tc:text>
  </x18tc:threadedComment>
  <x18tc:threadedComment ref="A57" dT="2025-08-02T18:23:12.00" personId="{54be410f-55af-4b47-917c-012a0c01f503}" id="{e57984d4-4649-4cde-bea4-e505f1a02ecf}" done="0">
    <x18tc:text xml:space="preserve">- Multimeter and Clamp Meter Kit			1	$384.93, $400.00, $420.00                                                                         - Supplies &amp; Equipment 			USB/Cable Tester			1	$79.99			$90.00			$120.00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Nuovoware-Extractor-Stripped-All-purpose-Extension/dp/B08XXP1SD9?crid=1RXYUJ99G6UAK&amp;dib=eyJ2IjoiMSJ9.QTAcphp4Xrd9ZrIecre7Tpjra1NULBweZW0DwV4PDeYR4obGqEtyIUvZEJ8QZfksojNqQUd9yb6YVxgRprY04a7o621RHSHFjwLfUwAIGAKM4yZIwwUVDaGUIxUXMFCIzKptf5Qbc9lruA557LXmjyNu6BqzXYVTi5xEzZqgc9Ikr1VMBPrNA4J4iV2WoFjJxRKCc5l9ajUKXJij-Ilk08CB04EVhOWsIciYDvXuyDXOIe52pmNr8N4-c1-taZk85lQsZOUAl4N1zT77PYCzQ7s8JaV6rhDWtY8uUx8wzCk.FZ6I0TlaUW9rBQs636v1wIwFD-lYFoJxJo2FIuQSwMM&amp;dib_tag=se&amp;keywords=small%2Bstripped%2Bscrew%2Bremover&amp;qid=1756420505&amp;sprefix=small%2Bstripped%2Bscrew%2Bremove%2Caps%2C166&amp;sr=8-7&amp;th=1" TargetMode="External"/><Relationship Id="rId2" Type="http://schemas.openxmlformats.org/officeDocument/2006/relationships/hyperlink" Target="https://www.amazon.com/Kaisiking-Soldering-Magnifying-Magnifier-Electronic/dp/B0D8W2BSXJ/ref=sr_1_1_sspa?dib=eyJ2IjoiMSJ9.kmG3dszgr2B0LwsADg0jK9H6wsQ9N-8EinD06MMEDp-hb7p0aJW_o2HhsFr7H7uVKQZd7PtUeE9aIKEuWotEmY1VhbuUPe7PrZ_TFWgu_tS3sJk0FCllxbYWhW2D2wVBXlUDVEYpHxgLgHagtvhf5UfZCdHV0aVcUYv_DukJxLTI31Fj1kXXyxwSEYEHZbclbSLdXcABMRp98tfu4cR1_Gua3MSaLufW6fI6OObkHZ0hD-qrrwjgrlJNNleLLNfO8raTSWh0042dbpFAgBPeecfsyrxL78TiDF8qghOvBHA.RpMwrLlGTwHo76hSORC_Bde20EMeXCMpujqgEHjq1j8&amp;dib_tag=se&amp;keywords=magnifying%2Bsoldering%2Bstand&amp;qid=1756843934&amp;sr=8-1-spons&amp;sp_csd=d2lkZ2V0TmFtZT1zcF9hdGY&amp;th=1" TargetMode="External"/><Relationship Id="rId3" Type="http://schemas.openxmlformats.org/officeDocument/2006/relationships/hyperlink" Target="https://www.amazon.com/Super-Nail-Acetone-Polish-Remover/dp/B004CCUCAA/ref=sr_1_1_sspa?crid=1JX8SGOT0CZCC&amp;dib=eyJ2IjoiMSJ9.o9Vhk2hIS8Y9SZ8CIFNZQvOuNSvTmGC5E7M6A7CmfuPDAFLJx2dnjLh55Tb8WECaq7iPVVZI6tMCGg8-UzroM2ZjtxKMOua0bQYnIRkZclMhWcz62GpxFm_87hiPmlYB4Baji_cRXnY_kjU5MtdyjgJtcw38l_IJcTOBkz3Owd4zD-2xIk30u38p_O0drSPdnychaMusZnOTjR8GBjSNtWnyYIm582fv0kvH4ahO4L7d48FIeKIWkMb9WBR-khpm3_jhOefogibOzFMLTe-VV0cCYazXNwkoHmwN7nPIFQE.fuaRv0gr9uDXgZJ_JYYuXRJgbZlN6A5y_Kw9pnuwfTQ&amp;dib_tag=se&amp;keywords=acetone+bulk&amp;qid=1756843988&amp;sprefix=acetone+bulk%2Caps%2C193&amp;sr=8-1-spons&amp;sp_csd=d2lkZ2V0TmFtZT1zcF9hdGY&amp;psc=1" TargetMode="External"/><Relationship Id="rId4" Type="http://schemas.openxmlformats.org/officeDocument/2006/relationships/hyperlink" Target="https://www.amazon.com/PTM7950-Heatsink-80x80x0-2mm-Conductive-Silicone/dp/B0BX42N9SZ/ref=sr_1_1?crid=3EKJ88424FPB7&amp;dib=eyJ2IjoiMSJ9.__8Xdag5t67ZPWOTkRVXq8YFgyVxCHwFgIvm3e6pqrQeeDWPZlCzDMwhYf8BYBggvdsPZNFvIqQVmdWxXmBzYOfxq0R2-aJl7j6qWEoRg7owNos4V_1b8RmiMeT-i9PKJ7xiMzLoG8P-MpTqDreEecfsghfSdRWU-kqx8ULkVUJ76hJ9A5iAr5moOc27stpCaYX6Jczpl36rUNJx2tTI5O20ibNRA9QUuRftpdx6-Ns.YV-NybOBenqyOfFR6werf7ladVVh3JT3zyzLCGuUVlQ&amp;dib_tag=se&amp;keywords=ptm7950+bulk&amp;qid=1756844146&amp;sprefix=thermal+paste+ptm7950+bulk%2Caps%2C213&amp;sr=8-1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amazon.com/Wonderway-Solder-Paste-Melting-30gx4packs/dp/B0D14KSQ48/ref=sr_1_3_sspa?crid=2S85GYWKTII1S&amp;dib=eyJ2IjoiMSJ9.wxAv797Zc0W6wtsHpTYA6qMobpVQ5StUxu9AkimLEheMNLuXgqzxQA6lAPJL8ZFnKHDmKRsbWBLVqyPEtPT3-H-22Y3NdLxmVAb_zvuCswLNACq6NeCB3UtnAg1QeC-r3dkUuZjgzxF0z9Bp9Hfeiblu7CKugKD-7wY4IXqO8Nz9Aa712EoN_vS47Zl-e3oPDWPRQ4eiPc2Tp2pQiclmiKxnEbRahAq0BDJn7GDgoSs_qcnQLZErN_V_A2IvjQqnczQV9LpvixyTygqxBhJ2HbHRUFMKR-qv3atQUfm7FNI.WJBwLvJA3TftysDq2Q19fEaORVe5Lnnze2wVrJ4I7NM&amp;dib_tag=se&amp;keywords=solder+paste&amp;qid=1757027986&amp;sprefix=solder+paste%2Caps%2C226&amp;sr=8-3-spons&amp;sp_csd=d2lkZ2V0TmFtZT1zcF9hdGY&amp;psc=1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www.amazon.com/Simpli-Magic-79142-Shop-Towels-White/dp/B07J3BLQPM/ref=sr_1_11?crid=277JWG19MFS8M&amp;dib=eyJ2IjoiMSJ9.h2x_r372ZjFaMYg7rDI0C22JPsFA8XIUmFbrdvzuQtTVvVzjvD7o3W5Kh7PmWzx6ny2JtFUadpOz_z0cLpDHloj4qeoF800vChbq3Y3kpjRSexcEJSJc9-UBBH9sMOkXuoX-N6gkdcHQylW_3HNlFPPm-_26Xl_Uhmk0-Nz_rgFw_6XUkNiKkMHv_50R0KO_CVkmpFCehcJcaMgSonw3N4ILuwWcgVKELvo1_Rwu0Z3l_9A3Xfs6R5Kr7ofDVzzyOAGmMxPVY4YHT2word7zrJ0dKzh5peJQxtfEBLcDgH8.wT_zBX0l40P17VdvfENvLDc3m8bPG5EjvFaWrFNmqSI&amp;dib_tag=se&amp;keywords=cotton%2Bcleaning%2Brags&amp;qid=1757867613&amp;sprefix=cotton%2Bcleaning%2B%2Caps%2C215&amp;sr=8-11&amp;th=1" TargetMode="External"/><Relationship Id="rId5" Type="http://schemas.openxmlformats.org/officeDocument/2006/relationships/hyperlink" Target="https://www.amazon.com/Upgrade-Adhesive-Waterproof-Jewelry-Precision/dp/B09YRT2YJ4/ref=sr_1_1_sspa?crid=3E8B5QELA74O3&amp;dib=eyJ2IjoiMSJ9.13U-96WLiTsS21Ue8bmXNT7Nza8o2K6XCCL9S4glWwW92-PL1me_yrBxY9lbyMX642B0MJ77TDsUFSCSEWXOO8Kp0Ovkmt6sG2mvyuZpzMKCvz8QwV2kcaPfFL19h0iSyz9IXCt-Mq81QbSyr0xmaAdK57gbL7eXnaXCiTRoff7yCQidYjfOKi-jvrYoBOnJEV7GIm7HT6E1kJJw8KkGq_ebydPXDRbJu-V0Dx8C9PG0Ah-StO-EyhJ3fn2uQSxlZxkMRK04GJjGk-q0MLjcJfZ7hAq4WT7gzlmzXpejDfk.oAcA70IN5DONUBa8Ao9JFe9QxH8Ys8awyO3scH12rBM&amp;dib_tag=se&amp;keywords=Electronics%2Bglue&amp;qid=1756845264&amp;sprefix=electronics%2Bglue%2Caps%2C211&amp;sr=8-1-spons&amp;sp_csd=d2lkZ2V0TmFtZT1zcF9hdGY&amp;th=1" TargetMode="External"/><Relationship Id="rId6" Type="http://schemas.openxmlformats.org/officeDocument/2006/relationships/hyperlink" Target="https://www.amazon.com/gp/product/B0BRL3DJ8Z/ref=ox_sc_act_title_22?smid=A12KX68C9776T9&amp;psc=1" TargetMode="External"/><Relationship Id="rId7" Type="http://schemas.openxmlformats.org/officeDocument/2006/relationships/hyperlink" Target="https://www.amazon.com/gp/product/B0CHM5QS3N/ref=ox_sc_act_title_14?smid=AKFL6YKYZULXS&amp;th=1" TargetMode="External"/><Relationship Id="rId8" Type="http://schemas.openxmlformats.org/officeDocument/2006/relationships/hyperlink" Target="https://www.amazon.com/gp/product/B000FW7VGE/ref=ox_sc_act_title_21?smid=ATVPDKIKX0DER&amp;th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gp/product/B08JKN4PL5/ref=ox_sc_saved_title_4?smid=ANGHDKZZ80XV6&amp;th=1" TargetMode="External"/><Relationship Id="rId2" Type="http://schemas.openxmlformats.org/officeDocument/2006/relationships/hyperlink" Target="https://www.amazon.com/gp/product/B00DTSLWRA/ref=ox_sc_saved_title_3?smid=ATVPDKIKX0DER&amp;psc=1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Sandpaper-Waterproof-Furniture-Finishing-Automotive/dp/B07KV3VX97/ref=sr_1_5?crid=2TQ3RWKSTQ9UX&amp;dib=eyJ2IjoiMSJ9.V00WNLBrzu--l_MpcyKsnepnPbB9z1eURv-kI1g9qWda7IHKKmlzYG9crSuGpN-hEN8sZHcyWrcMa2__vs6jJ6DgnlVbmO4QuFxh7k4zunhF0qoWB7UN-oSOGL0zqNTjx93nVdiOeimr-Yi1OdLWM38XFwPvQU-qbKt2tW23H2UgoyuuzgOBvA6mN6kF32fK2Ym69E8MmJYaPI4WEVWkHvtMPW2TAbG12pqqoKiAPA0.U5FRp2MO7QFgQkgHZZVucJSXz4Mrioy8lrjqABo-0F4&amp;dib_tag=se&amp;keywords=sandpaper+kit+lapping&amp;qid=1756063882&amp;sprefix=sandpaper+kit+lapping%2Caps%2C231&amp;sr=8-5" TargetMode="External"/><Relationship Id="rId11" Type="http://schemas.openxmlformats.org/officeDocument/2006/relationships/hyperlink" Target="https://www.amazon.com/ARCTIC-MX-4-2019-Performance-Durability/dp/B07L9BDY3T?psc=1&amp;pd_rd_w=A1SCT&amp;content-id=amzn1.sym.ea1d9533-fbb7-4608-bb6f-bfdceb6f6336&amp;pf_rd_p=ea1d9533-fbb7-4608-bb6f-bfdceb6f6336&amp;pf_rd_r=TVZR0XKCKS6HSBX5D1AZ&amp;pd_rd_wg=QrVq4&amp;pd_rd_r=e563a276-3119-49eb-9b9e-c092e51d2e53&amp;ref_=sspa_dk_detail_sbt_1&amp;sp_csd=d2lkZ2V0TmFtZT1zcF9kZXRhaWxfdGhlbWF0aWM=" TargetMode="External"/><Relationship Id="rId22" Type="http://schemas.openxmlformats.org/officeDocument/2006/relationships/hyperlink" Target="https://www.amazon.com/JESSINIE-Display-ILI9341-Monitor-240x320/dp/B0B7MJK826/ref=asc_df_B0B7MJK826?mcid=2e6f17e946373d77978727678a44b0d9&amp;hvocijid=312990328334205836-B0B7MJK826-&amp;hvexpln=73&amp;tag=hyprod-20&amp;linkCode=df0&amp;hvadid=721245378154&amp;hvpos=&amp;hvnetw=g&amp;hvrand=312990328334205836&amp;hvpone=&amp;hvptwo=&amp;hvqmt=&amp;hvdev=c&amp;hvdvcmdl=&amp;hvlocint=&amp;hvlocphy=9032181&amp;hvtargid=pla-2281435177618&amp;psc=1" TargetMode="External"/><Relationship Id="rId10" Type="http://schemas.openxmlformats.org/officeDocument/2006/relationships/hyperlink" Target="https://www.amazon.com/Silicone-Including-Thickness-Conductive-Heatsink/dp/B0CN9GH7HG/ref=sr_1_15?crid=3SDFMDZYIQ48H&amp;dib=eyJ2IjoiMSJ9.PnR2UEnyL6FmSmXe9cQGrqTFmwVFmyQcqDUrm9xGOhC5bgitxqfgb1el8GBpNrazqgtjZnx3tQ9H8aBbdP0UAOdlCYUy1jGuDN4OVgSmHdP9D7sjDdT4pxnm05X-SqmPHT1enFsz8NBftU8-Nm_kmKKqP_ILyNacWblxm1gd_DO1M-bBA94AuEDVpVQV92K_3qGGq7SCxXzsbQXgIAkQJB-UxQIwe9nQeEUT19ZaQ_k.GsxKZaiVOXiak68a6sR-EDAG2mbN2Yr_C3QBJBk0Ly4&amp;dib_tag=se&amp;keywords=silicone+thermal+pads+100&amp;qid=1756063554&amp;sprefix=silicone+thermal+pads+100%2Caps%2C167&amp;sr=8-15" TargetMode="External"/><Relationship Id="rId21" Type="http://schemas.openxmlformats.org/officeDocument/2006/relationships/hyperlink" Target="https://www.amazon.com/3M-TM-Microfinishing-Sharpening-Aluminum/dp/B07TDMS1H8/ref=sr_1_3?crid=2TQ3RWKSTQ9UX&amp;dib=eyJ2IjoiMSJ9.V00WNLBrzu--l_MpcyKsnepnPbB9z1eURv-kI1g9qWda7IHKKmlzYG9crSuGpN-hEN8sZHcyWrcMa2__vs6jJ6DgnlVbmO4QuFxh7k4zunhF0qoWB7UN-oSOGL0zqNTjx93nVdiOeimr-Yi1OdLWM38XFwPvQU-qbKt2tW23H2UgoyuuzgOBvA6mN6kF32fK2Ym69E8MmJYaPI4WEVWkHvtMPW2TAbG12pqqoKiAPA0.U5FRp2MO7QFgQkgHZZVucJSXz4Mrioy8lrjqABo-0F4&amp;dib_tag=se&amp;keywords=sandpaper+kit+lapping&amp;qid=1756063882&amp;sprefix=sandpaper+kit+lapping%2Caps%2C231&amp;sr=8-3" TargetMode="External"/><Relationship Id="rId13" Type="http://schemas.openxmlformats.org/officeDocument/2006/relationships/hyperlink" Target="https://a.co/d/bnC5xsX" TargetMode="External"/><Relationship Id="rId24" Type="http://schemas.openxmlformats.org/officeDocument/2006/relationships/vmlDrawing" Target="../drawings/vmlDrawing1.vml"/><Relationship Id="rId12" Type="http://schemas.openxmlformats.org/officeDocument/2006/relationships/hyperlink" Target="https://www.digikey.com/en/products/detail/image-quality-labs-inc/IQL-OV5675-FF/22022863?s=N4IgTCBcDaIPIFsB2BLAbigzig9kgBHAGoCsAbAOwkgC6AvkA" TargetMode="External"/><Relationship Id="rId23" Type="http://schemas.openxmlformats.org/officeDocument/2006/relationships/drawing" Target="../drawings/drawing3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a.co/d/iwljzqt" TargetMode="External"/><Relationship Id="rId9" Type="http://schemas.openxmlformats.org/officeDocument/2006/relationships/hyperlink" Target="https://www.aliexpress.us/item/3256807168791192.html?spm=a2g0o.detail.pcDetailTopMoreOtherSeller.11.48b85d8cW7otm5&amp;gps-id=pcDetailTopMoreOtherSeller&amp;scm=1007.40196.439370.0&amp;scm_id=1007.40196.439370.0&amp;scm-url=1007.40196.439370.0&amp;pvid=fc441c23-ecb4-4a60-8755-0314df5e393e&amp;_t=gps-id:pcDetailTopMoreOtherSeller,scm-url:1007.40196.439370.0,pvid:fc441c23-ecb4-4a60-8755-0314df5e393e,tpp_buckets:668%232846%238108%231977&amp;pdp_ext_f=%7B%22order%22%3A%22114%22%2C%22eval%22%3A%221%22%2C%22sceneId%22%3A%2230050%22%7D&amp;pdp_npi=6%40dis!USD!10.65!0.99!!!76.14!7.09!%402103244417560632316962446e93ba!12000040399431259!rec!US!!ABXZ!1!0!n_tag%3A-29910%3Bd%3A3936972c%3Bm03_new_user%3A-29895%3BpisId%3A5000000174221210&amp;utparam-url=scene%3ApcDetailTopMoreOtherSeller%7Cquery_from%3A%7Cx_object_id%3A1005007355105944%7C_p_origin_prod%3A" TargetMode="External"/><Relationship Id="rId15" Type="http://schemas.openxmlformats.org/officeDocument/2006/relationships/hyperlink" Target="https://www.amazon.com/gp/product/B08JKN4PL5/ref=ox_sc_saved_title_4?smid=ANGHDKZZ80XV6&amp;th=1" TargetMode="External"/><Relationship Id="rId14" Type="http://schemas.openxmlformats.org/officeDocument/2006/relationships/hyperlink" Target="https://www.amazon.com/dp/B0FDG3MKVK?ref=cm_sw_r_cso_cp_apin_dp_8GBGYPFSQJD3PAFWKNRM&amp;ref_=cm_sw_r_cso_cp_apin_dp_8GBGYPFSQJD3PAFWKNRM&amp;social_share=cm_sw_r_cso_cp_apin_dp_8GBGYPFSQJD3PAFWKNRM&amp;csmig=1" TargetMode="External"/><Relationship Id="rId17" Type="http://schemas.openxmlformats.org/officeDocument/2006/relationships/hyperlink" Target="https://www.amazon.com/gp/product/B00DTSLWRA/ref=ox_sc_saved_title_3?smid=ATVPDKIKX0DER&amp;psc=1" TargetMode="External"/><Relationship Id="rId16" Type="http://schemas.openxmlformats.org/officeDocument/2006/relationships/hyperlink" Target="https://www.amazon.com/gp/product/B08JKN4PL5/ref=ox_sc_saved_title_4?smid=ANGHDKZZ80XV6&amp;th=1" TargetMode="External"/><Relationship Id="rId5" Type="http://schemas.openxmlformats.org/officeDocument/2006/relationships/hyperlink" Target="https://www.digikey.com/en/products/detail/same-sky-formerly-cui-devices/SJ-3523-SMT-TR/281297" TargetMode="External"/><Relationship Id="rId19" Type="http://schemas.openxmlformats.org/officeDocument/2006/relationships/hyperlink" Target="https://www.amazon.com/ELEGOO-Polyimide-Temperature-Resistant-Multi-Sized/dp/B072Z92QZ2/ref=sr_1_3?crid=1P1P9PWJ9O589&amp;dib=eyJ2IjoiMSJ9.zqOQGZZEwLknDHuLTG4X17KmmlKslmalMcqR5VmzyxW-sflu2PBk14ylqcS6MWH3SiUK_--BD_xNIxEdcpptHXSs72tJXoKscGaAxlo-OZBm-qKCkwVCjfp6BCumYXBkSy74qb5mNEb-W9AWmPV8bGh6Nzum56eky8x1Bi40ygXPStQgReU7FUECeRql0wGOwZC-0mYH2vnw-tnLvuWv6xHdG-x4tBqSr7XlR6HScqk.tah2KlGE6sxNJ2FzR5nVA0zkvJ3_ghr7WgEQnulAGBo&amp;dib_tag=se&amp;keywords=kapton+tape&amp;qid=1756063789&amp;sprefix=Kapton+%2Caps%2C171&amp;sr=8-3" TargetMode="External"/><Relationship Id="rId6" Type="http://schemas.openxmlformats.org/officeDocument/2006/relationships/hyperlink" Target="https://www.digikey.com/en/products/detail/pui-audio-inc/AMM-2742-T-WP-R/14289961" TargetMode="External"/><Relationship Id="rId18" Type="http://schemas.openxmlformats.org/officeDocument/2006/relationships/hyperlink" Target="https://www.amazon.com/gp/product/B00DTSLWRA/ref=ox_sc_saved_title_3?smid=ATVPDKIKX0DER&amp;psc=1" TargetMode="External"/><Relationship Id="rId7" Type="http://schemas.openxmlformats.org/officeDocument/2006/relationships/hyperlink" Target="https://jlcpcb.com/" TargetMode="External"/><Relationship Id="rId8" Type="http://schemas.openxmlformats.org/officeDocument/2006/relationships/hyperlink" Target="https://www.aliexpress.us/item/3256805846099656.html?src=google&amp;pdp_npi=4%40dis!USD!4.50!2.70!!!!!%40!12000035406222596!ppc!!!&amp;src=google&amp;albch=shopping&amp;acnt=708-803-3821&amp;isdl=y&amp;slnk=&amp;plac=&amp;mtctp=&amp;albbt=Google_7_shopping&amp;aff_platform=google&amp;aff_short_key=UneMJZVf&amp;gclsrc=aw.ds&amp;albagn=888888&amp;ds_e_adid=&amp;ds_e_matchtype=&amp;ds_e_device=c&amp;ds_e_network=x&amp;ds_e_product_group_id=&amp;ds_e_product_id=en3256805846099656&amp;ds_e_product_merchant_id=5520179106&amp;ds_e_product_country=ZZ&amp;ds_e_product_language=en&amp;ds_e_product_channel=online&amp;ds_e_product_store_id=&amp;ds_url_v=2&amp;albcp=19108282527&amp;albag=&amp;isSmbAutoCall=false&amp;needSmbHouyi=false&amp;gad_source=4&amp;gad_campaignid=19108284222&amp;gbraid=0AAAAAD6I-hGiPM_Dhs_5mXc1Z5Vsv19r1&amp;gclid=Cj0KCQjwzaXFBhDlARIsAFPv-u-8cwWhsr1ROR6hqH1dbdZmd_gvpz9ewt1iqNIG2ZJ4QuWYf4NJubkaAhQuEALw_wcB&amp;gatewayAdapt=glo2us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gp/product/B08JKN4PL5/ref=ox_sc_saved_title_4?smid=ANGHDKZZ80XV6&amp;th=1" TargetMode="External"/><Relationship Id="rId2" Type="http://schemas.openxmlformats.org/officeDocument/2006/relationships/hyperlink" Target="https://www.amazon.com/gp/product/B00DTSLWRA/ref=ox_sc_saved_title_3?smid=ATVPDKIKX0DER&amp;psc=1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5.5"/>
    <col customWidth="1" min="2" max="2" width="50.63"/>
    <col customWidth="1" min="3" max="3" width="20.5"/>
    <col customWidth="1" min="4" max="4" width="14.13"/>
    <col customWidth="1" min="5" max="6" width="15.25"/>
    <col customWidth="1" min="7" max="7" width="114.38"/>
  </cols>
  <sheetData>
    <row r="1" ht="22.5" customHeight="1">
      <c r="A1" s="47" t="s">
        <v>40</v>
      </c>
      <c r="B1" s="47" t="s">
        <v>2</v>
      </c>
      <c r="C1" s="47" t="s">
        <v>54</v>
      </c>
      <c r="D1" s="47" t="s">
        <v>57</v>
      </c>
      <c r="E1" s="47" t="s">
        <v>58</v>
      </c>
      <c r="F1" s="47" t="s">
        <v>59</v>
      </c>
      <c r="G1" s="53" t="s">
        <v>61</v>
      </c>
      <c r="H1" s="47" t="s">
        <v>65</v>
      </c>
    </row>
    <row r="2" ht="22.5" customHeight="1">
      <c r="A2" s="57" t="s">
        <v>68</v>
      </c>
      <c r="B2" s="57" t="s">
        <v>71</v>
      </c>
      <c r="C2" s="60" t="s">
        <v>76</v>
      </c>
      <c r="D2" s="80" t="s">
        <v>83</v>
      </c>
      <c r="E2" s="83">
        <v>14.24</v>
      </c>
      <c r="F2" s="83"/>
      <c r="G2" s="86" t="s">
        <v>158</v>
      </c>
      <c r="H2" s="57"/>
    </row>
    <row r="3" ht="22.5" customHeight="1">
      <c r="A3" s="57" t="s">
        <v>160</v>
      </c>
      <c r="B3" s="57" t="s">
        <v>161</v>
      </c>
      <c r="C3" s="60" t="s">
        <v>76</v>
      </c>
      <c r="D3" s="80" t="s">
        <v>163</v>
      </c>
      <c r="E3" s="83">
        <v>19.99</v>
      </c>
      <c r="F3" s="83"/>
      <c r="G3" s="86" t="s">
        <v>171</v>
      </c>
      <c r="H3" s="57"/>
    </row>
    <row r="4" ht="22.5" customHeight="1">
      <c r="A4" s="57" t="s">
        <v>172</v>
      </c>
      <c r="B4" s="57" t="s">
        <v>173</v>
      </c>
      <c r="C4" s="60" t="s">
        <v>76</v>
      </c>
      <c r="D4" s="80" t="s">
        <v>175</v>
      </c>
      <c r="E4" s="83">
        <v>19.38</v>
      </c>
      <c r="F4" s="83"/>
      <c r="G4" s="86" t="s">
        <v>182</v>
      </c>
      <c r="H4" s="57"/>
    </row>
    <row r="5" ht="22.5" customHeight="1">
      <c r="A5" s="57" t="s">
        <v>183</v>
      </c>
      <c r="B5" s="57" t="s">
        <v>184</v>
      </c>
      <c r="C5" s="60" t="s">
        <v>76</v>
      </c>
      <c r="D5" s="80" t="s">
        <v>186</v>
      </c>
      <c r="E5" s="83">
        <v>25.99</v>
      </c>
      <c r="F5" s="83"/>
      <c r="G5" s="86" t="s">
        <v>190</v>
      </c>
      <c r="H5" s="57"/>
    </row>
    <row r="6" ht="22.5" customHeight="1">
      <c r="A6" s="57" t="s">
        <v>191</v>
      </c>
      <c r="B6" s="57" t="s">
        <v>192</v>
      </c>
      <c r="C6" s="60" t="s">
        <v>76</v>
      </c>
      <c r="D6" s="80" t="s">
        <v>193</v>
      </c>
      <c r="E6" s="83">
        <v>7.99</v>
      </c>
      <c r="F6" s="83"/>
      <c r="G6" s="86" t="s">
        <v>200</v>
      </c>
      <c r="H6" s="57"/>
    </row>
    <row r="7" ht="22.5" customHeight="1">
      <c r="A7" s="57" t="s">
        <v>201</v>
      </c>
      <c r="B7" s="57" t="s">
        <v>203</v>
      </c>
      <c r="C7" s="60" t="s">
        <v>76</v>
      </c>
      <c r="D7" s="80" t="s">
        <v>204</v>
      </c>
      <c r="E7" s="83">
        <v>15.3</v>
      </c>
      <c r="F7" s="83"/>
      <c r="G7" s="86" t="s">
        <v>205</v>
      </c>
      <c r="H7" s="57"/>
    </row>
    <row r="8" ht="22.5" customHeight="1">
      <c r="A8" s="57" t="s">
        <v>207</v>
      </c>
      <c r="B8" s="57" t="s">
        <v>208</v>
      </c>
      <c r="C8" s="60" t="s">
        <v>76</v>
      </c>
      <c r="D8" s="80" t="s">
        <v>211</v>
      </c>
      <c r="E8" s="83">
        <v>9.99</v>
      </c>
      <c r="F8" s="83"/>
      <c r="G8" s="86" t="s">
        <v>214</v>
      </c>
      <c r="H8" s="57"/>
    </row>
    <row r="9" ht="22.5" customHeight="1">
      <c r="A9" s="57" t="s">
        <v>215</v>
      </c>
      <c r="B9" s="57" t="s">
        <v>216</v>
      </c>
      <c r="C9" s="60" t="s">
        <v>76</v>
      </c>
      <c r="D9" s="80" t="s">
        <v>217</v>
      </c>
      <c r="E9" s="83">
        <v>8.99</v>
      </c>
      <c r="F9" s="83"/>
      <c r="H9" s="57"/>
    </row>
    <row r="10" ht="22.5" customHeight="1">
      <c r="A10" s="60" t="s">
        <v>218</v>
      </c>
      <c r="B10" s="132" t="s">
        <v>219</v>
      </c>
      <c r="C10" s="60" t="s">
        <v>76</v>
      </c>
      <c r="D10" s="133" t="s">
        <v>220</v>
      </c>
      <c r="E10" s="83"/>
      <c r="F10" s="57"/>
      <c r="G10" s="57"/>
      <c r="H10" s="57"/>
    </row>
    <row r="11" ht="22.5" customHeight="1">
      <c r="A11" s="57" t="s">
        <v>224</v>
      </c>
      <c r="B11" s="135"/>
      <c r="C11" s="60" t="s">
        <v>76</v>
      </c>
      <c r="D11" s="57"/>
      <c r="E11" s="83"/>
      <c r="F11" s="57"/>
      <c r="G11" s="57" t="s">
        <v>226</v>
      </c>
      <c r="H11" s="57"/>
    </row>
    <row r="12" ht="22.5" customHeight="1">
      <c r="A12" s="57" t="s">
        <v>227</v>
      </c>
      <c r="B12" s="57" t="s">
        <v>228</v>
      </c>
      <c r="C12" s="60" t="s">
        <v>76</v>
      </c>
      <c r="D12" s="80" t="s">
        <v>229</v>
      </c>
      <c r="E12" s="83">
        <v>22.99</v>
      </c>
      <c r="F12" s="83"/>
      <c r="G12" s="57" t="s">
        <v>232</v>
      </c>
      <c r="H12" s="57"/>
    </row>
    <row r="13" ht="22.5" customHeight="1">
      <c r="A13" s="57"/>
      <c r="B13" s="57"/>
      <c r="C13" s="57"/>
      <c r="D13" s="57"/>
      <c r="E13" s="83">
        <f>SUM(Sheet7!$E$2:$E$12)</f>
        <v>144.86</v>
      </c>
      <c r="F13" s="83">
        <f>SUM(Example_Dept[W Tax+Shipping])</f>
        <v>0</v>
      </c>
      <c r="G13" s="57"/>
      <c r="H13" s="57"/>
    </row>
    <row r="14">
      <c r="A14" s="18"/>
      <c r="B14" s="18"/>
      <c r="C14" s="18"/>
      <c r="D14" s="18"/>
    </row>
  </sheetData>
  <dataValidations>
    <dataValidation type="custom" allowBlank="1" showDropDown="1" sqref="E2:E12">
      <formula1>AND(ISNUMBER(E2),(NOT(OR(NOT(ISERROR(DATEVALUE(E2))), AND(ISNUMBER(E2), LEFT(CELL("format", E2))="D")))))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2"/>
  </hyperlinks>
  <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0.38"/>
    <col customWidth="1" min="6" max="6" width="25.75"/>
    <col customWidth="1" min="7" max="7" width="13.5"/>
    <col customWidth="1" min="8" max="14" width="6.63"/>
    <col customWidth="1" min="15" max="15" width="5.63"/>
    <col customWidth="1" min="16" max="17" width="10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1</v>
      </c>
      <c r="B2" s="2"/>
      <c r="C2" s="2"/>
      <c r="D2" s="3" t="s">
        <v>2</v>
      </c>
      <c r="E2" s="2"/>
      <c r="F2" s="4"/>
      <c r="G2" s="5" t="s">
        <v>3</v>
      </c>
      <c r="H2" s="6"/>
      <c r="I2" s="6"/>
      <c r="J2" s="6"/>
      <c r="K2" s="6"/>
      <c r="L2" s="6"/>
      <c r="M2" s="6"/>
      <c r="N2" s="9" t="s">
        <v>5</v>
      </c>
      <c r="O2" s="2"/>
      <c r="P2" s="4"/>
      <c r="R2" s="11" t="s">
        <v>10</v>
      </c>
      <c r="S2" s="2"/>
      <c r="T2" s="2"/>
      <c r="U2" s="2"/>
      <c r="V2" s="4"/>
    </row>
    <row r="3">
      <c r="A3" s="14" t="s">
        <v>14</v>
      </c>
      <c r="B3" s="2"/>
      <c r="C3" s="2"/>
      <c r="D3" s="15" t="s">
        <v>18</v>
      </c>
      <c r="E3" s="2"/>
      <c r="F3" s="4"/>
      <c r="G3" s="17">
        <v>2.0</v>
      </c>
      <c r="H3" s="20">
        <v>30.0</v>
      </c>
      <c r="I3" s="2"/>
      <c r="J3" s="4"/>
      <c r="K3" s="20">
        <v>36.0</v>
      </c>
      <c r="L3" s="2"/>
      <c r="M3" s="4"/>
      <c r="N3" s="22">
        <v>51.0</v>
      </c>
      <c r="O3" s="2"/>
      <c r="P3" s="4"/>
      <c r="R3" s="24" t="s">
        <v>1</v>
      </c>
      <c r="S3" s="11" t="s">
        <v>23</v>
      </c>
      <c r="T3" s="2"/>
      <c r="U3" s="2"/>
      <c r="V3" s="4"/>
    </row>
    <row r="4">
      <c r="A4" s="14" t="s">
        <v>14</v>
      </c>
      <c r="B4" s="2"/>
      <c r="C4" s="2"/>
      <c r="D4" s="15" t="s">
        <v>28</v>
      </c>
      <c r="E4" s="2"/>
      <c r="F4" s="4"/>
      <c r="G4" s="17">
        <v>2.0</v>
      </c>
      <c r="H4" s="20">
        <v>60.0</v>
      </c>
      <c r="I4" s="2"/>
      <c r="J4" s="4"/>
      <c r="K4" s="20">
        <v>72.0</v>
      </c>
      <c r="L4" s="2"/>
      <c r="M4" s="4"/>
      <c r="N4" s="32">
        <v>102.0</v>
      </c>
      <c r="O4" s="2"/>
      <c r="P4" s="4"/>
      <c r="R4" s="34"/>
      <c r="S4" s="36" t="s">
        <v>36</v>
      </c>
      <c r="T4" s="38"/>
      <c r="U4" s="38"/>
      <c r="V4" s="38"/>
    </row>
    <row r="5">
      <c r="A5" s="14" t="s">
        <v>14</v>
      </c>
      <c r="B5" s="2"/>
      <c r="C5" s="2"/>
      <c r="D5" s="15" t="s">
        <v>38</v>
      </c>
      <c r="E5" s="2"/>
      <c r="F5" s="4"/>
      <c r="G5" s="17">
        <v>2.0</v>
      </c>
      <c r="H5" s="20">
        <v>240.0</v>
      </c>
      <c r="I5" s="2"/>
      <c r="J5" s="4"/>
      <c r="K5" s="20">
        <v>288.0</v>
      </c>
      <c r="L5" s="2"/>
      <c r="M5" s="4"/>
      <c r="N5" s="22">
        <v>288.0</v>
      </c>
      <c r="O5" s="2"/>
      <c r="P5" s="4"/>
      <c r="R5" s="34"/>
      <c r="S5" s="46" t="s">
        <v>44</v>
      </c>
    </row>
    <row r="6">
      <c r="A6" s="14" t="s">
        <v>14</v>
      </c>
      <c r="B6" s="2"/>
      <c r="C6" s="2"/>
      <c r="D6" s="15" t="s">
        <v>52</v>
      </c>
      <c r="E6" s="2"/>
      <c r="F6" s="4"/>
      <c r="G6" s="17">
        <v>2.0</v>
      </c>
      <c r="H6" s="20">
        <v>28.0</v>
      </c>
      <c r="I6" s="2"/>
      <c r="J6" s="4"/>
      <c r="K6" s="20">
        <v>33.6</v>
      </c>
      <c r="L6" s="2"/>
      <c r="M6" s="4"/>
      <c r="N6" s="22">
        <v>47.6</v>
      </c>
      <c r="O6" s="2"/>
      <c r="P6" s="4"/>
      <c r="R6" s="34"/>
      <c r="S6" s="46" t="s">
        <v>14</v>
      </c>
    </row>
    <row r="7">
      <c r="A7" s="14" t="s">
        <v>14</v>
      </c>
      <c r="B7" s="2"/>
      <c r="C7" s="2"/>
      <c r="D7" s="15" t="s">
        <v>60</v>
      </c>
      <c r="E7" s="2"/>
      <c r="F7" s="4"/>
      <c r="G7" s="17">
        <v>2.0</v>
      </c>
      <c r="H7" s="20">
        <v>7.0</v>
      </c>
      <c r="I7" s="2"/>
      <c r="J7" s="4"/>
      <c r="K7" s="20">
        <v>8.4</v>
      </c>
      <c r="L7" s="2"/>
      <c r="M7" s="4"/>
      <c r="N7" s="22">
        <v>11.9</v>
      </c>
      <c r="O7" s="2"/>
      <c r="P7" s="4"/>
      <c r="R7" s="34"/>
      <c r="S7" s="46" t="s">
        <v>64</v>
      </c>
    </row>
    <row r="8">
      <c r="A8" s="55" t="s">
        <v>14</v>
      </c>
      <c r="B8" s="2"/>
      <c r="C8" s="2"/>
      <c r="D8" s="58" t="s">
        <v>69</v>
      </c>
      <c r="E8" s="2"/>
      <c r="F8" s="4"/>
      <c r="G8" s="59">
        <v>1.0</v>
      </c>
      <c r="H8" s="61">
        <v>195.0</v>
      </c>
      <c r="I8" s="2"/>
      <c r="J8" s="4"/>
      <c r="K8" s="61">
        <v>225.0</v>
      </c>
      <c r="L8" s="2"/>
      <c r="M8" s="4"/>
      <c r="N8" s="63">
        <v>225.0</v>
      </c>
      <c r="O8" s="2"/>
      <c r="P8" s="4"/>
      <c r="R8" s="65"/>
      <c r="S8" s="66" t="s">
        <v>90</v>
      </c>
      <c r="T8" s="67"/>
      <c r="U8" s="67"/>
      <c r="V8" s="67"/>
    </row>
    <row r="9">
      <c r="A9" s="14" t="s">
        <v>14</v>
      </c>
      <c r="B9" s="2"/>
      <c r="C9" s="2"/>
      <c r="D9" s="15" t="s">
        <v>99</v>
      </c>
      <c r="E9" s="2"/>
      <c r="F9" s="4"/>
      <c r="G9" s="17">
        <v>2.0</v>
      </c>
      <c r="H9" s="20">
        <v>30.0</v>
      </c>
      <c r="I9" s="2"/>
      <c r="J9" s="4"/>
      <c r="K9" s="20">
        <v>36.0</v>
      </c>
      <c r="L9" s="2"/>
      <c r="M9" s="4"/>
      <c r="N9" s="32">
        <v>51.0</v>
      </c>
      <c r="O9" s="2"/>
      <c r="P9" s="4"/>
      <c r="R9" s="24" t="s">
        <v>2</v>
      </c>
      <c r="S9" s="70" t="s">
        <v>114</v>
      </c>
      <c r="T9" s="38"/>
      <c r="U9" s="38"/>
      <c r="V9" s="71"/>
    </row>
    <row r="10">
      <c r="A10" s="14" t="s">
        <v>14</v>
      </c>
      <c r="B10" s="2"/>
      <c r="C10" s="2"/>
      <c r="D10" s="15" t="s">
        <v>121</v>
      </c>
      <c r="E10" s="2"/>
      <c r="F10" s="4"/>
      <c r="G10" s="17">
        <v>4.0</v>
      </c>
      <c r="H10" s="20">
        <v>20.0</v>
      </c>
      <c r="I10" s="2"/>
      <c r="J10" s="4"/>
      <c r="K10" s="20">
        <v>28.0</v>
      </c>
      <c r="L10" s="2"/>
      <c r="M10" s="4"/>
      <c r="N10" s="22">
        <v>38.0</v>
      </c>
      <c r="O10" s="2"/>
      <c r="P10" s="4"/>
      <c r="R10" s="34"/>
      <c r="S10" s="74"/>
      <c r="V10" s="75"/>
    </row>
    <row r="11">
      <c r="A11" s="14" t="s">
        <v>14</v>
      </c>
      <c r="B11" s="2"/>
      <c r="C11" s="2"/>
      <c r="D11" s="15" t="s">
        <v>136</v>
      </c>
      <c r="E11" s="2"/>
      <c r="F11" s="4"/>
      <c r="G11" s="17">
        <v>2.0</v>
      </c>
      <c r="H11" s="20">
        <v>10.0</v>
      </c>
      <c r="I11" s="2"/>
      <c r="J11" s="4"/>
      <c r="K11" s="20">
        <v>12.0</v>
      </c>
      <c r="L11" s="2"/>
      <c r="M11" s="4"/>
      <c r="N11" s="22">
        <v>22.0</v>
      </c>
      <c r="O11" s="2"/>
      <c r="P11" s="4"/>
      <c r="R11" s="65"/>
      <c r="S11" s="76"/>
      <c r="T11" s="67"/>
      <c r="U11" s="67"/>
      <c r="V11" s="78"/>
    </row>
    <row r="12">
      <c r="A12" s="14" t="s">
        <v>14</v>
      </c>
      <c r="B12" s="2"/>
      <c r="C12" s="2"/>
      <c r="D12" s="15" t="s">
        <v>155</v>
      </c>
      <c r="E12" s="2"/>
      <c r="F12" s="4"/>
      <c r="G12" s="17">
        <v>1.0</v>
      </c>
      <c r="H12" s="20">
        <v>700.0</v>
      </c>
      <c r="I12" s="2"/>
      <c r="J12" s="4"/>
      <c r="K12" s="20">
        <v>800.0</v>
      </c>
      <c r="L12" s="2"/>
      <c r="M12" s="4"/>
      <c r="N12" s="22">
        <v>800.0</v>
      </c>
      <c r="O12" s="2"/>
      <c r="P12" s="4"/>
      <c r="R12" s="84"/>
      <c r="S12" s="11"/>
      <c r="T12" s="85"/>
      <c r="U12" s="85"/>
      <c r="V12" s="87"/>
    </row>
    <row r="13">
      <c r="A13" s="14" t="s">
        <v>14</v>
      </c>
      <c r="B13" s="2"/>
      <c r="C13" s="2"/>
      <c r="D13" s="15" t="s">
        <v>159</v>
      </c>
      <c r="E13" s="2"/>
      <c r="F13" s="4"/>
      <c r="G13" s="17">
        <v>1.0</v>
      </c>
      <c r="H13" s="20">
        <v>60.0</v>
      </c>
      <c r="I13" s="2"/>
      <c r="J13" s="4"/>
      <c r="K13" s="20">
        <v>67.0</v>
      </c>
      <c r="L13" s="2"/>
      <c r="M13" s="4"/>
      <c r="N13" s="22">
        <v>67.0</v>
      </c>
      <c r="O13" s="2"/>
      <c r="P13" s="4"/>
      <c r="R13" s="84"/>
      <c r="S13" s="11"/>
      <c r="T13" s="85"/>
      <c r="U13" s="85"/>
      <c r="V13" s="87"/>
    </row>
    <row r="14">
      <c r="A14" s="14" t="s">
        <v>14</v>
      </c>
      <c r="B14" s="2"/>
      <c r="C14" s="2"/>
      <c r="D14" s="15" t="s">
        <v>162</v>
      </c>
      <c r="E14" s="2"/>
      <c r="F14" s="4"/>
      <c r="G14" s="17">
        <v>1.0</v>
      </c>
      <c r="H14" s="20">
        <v>40.0</v>
      </c>
      <c r="I14" s="2"/>
      <c r="J14" s="4"/>
      <c r="K14" s="32">
        <v>44.0</v>
      </c>
      <c r="L14" s="2"/>
      <c r="M14" s="4"/>
      <c r="N14" s="22">
        <v>50.0</v>
      </c>
      <c r="O14" s="2"/>
      <c r="P14" s="4"/>
      <c r="R14" s="84"/>
      <c r="S14" s="11"/>
      <c r="T14" s="85"/>
      <c r="U14" s="85"/>
      <c r="V14" s="87"/>
    </row>
    <row r="15">
      <c r="A15" s="14" t="s">
        <v>14</v>
      </c>
      <c r="B15" s="2"/>
      <c r="C15" s="2"/>
      <c r="D15" s="15" t="s">
        <v>164</v>
      </c>
      <c r="E15" s="2"/>
      <c r="F15" s="4"/>
      <c r="G15" s="17">
        <v>4.0</v>
      </c>
      <c r="H15" s="20">
        <v>30.0</v>
      </c>
      <c r="I15" s="2"/>
      <c r="J15" s="4"/>
      <c r="K15" s="20">
        <v>42.0</v>
      </c>
      <c r="L15" s="2"/>
      <c r="M15" s="4"/>
      <c r="N15" s="22">
        <v>42.0</v>
      </c>
      <c r="O15" s="2"/>
      <c r="P15" s="4"/>
      <c r="R15" s="89" t="s">
        <v>3</v>
      </c>
      <c r="S15" s="11" t="s">
        <v>7</v>
      </c>
      <c r="T15" s="85"/>
      <c r="U15" s="85"/>
      <c r="V15" s="87"/>
    </row>
    <row r="16">
      <c r="A16" s="14" t="s">
        <v>14</v>
      </c>
      <c r="B16" s="2"/>
      <c r="C16" s="2"/>
      <c r="D16" s="15" t="s">
        <v>165</v>
      </c>
      <c r="E16" s="2"/>
      <c r="F16" s="4"/>
      <c r="G16" s="90">
        <v>10.0</v>
      </c>
      <c r="H16" s="32">
        <v>55.0</v>
      </c>
      <c r="I16" s="2"/>
      <c r="J16" s="4"/>
      <c r="K16" s="32">
        <v>65.0</v>
      </c>
      <c r="L16" s="2"/>
      <c r="M16" s="4"/>
      <c r="N16" s="32">
        <v>80.0</v>
      </c>
      <c r="O16" s="2"/>
      <c r="P16" s="4"/>
    </row>
    <row r="17">
      <c r="A17" s="91"/>
      <c r="B17" s="92"/>
      <c r="C17" s="92"/>
      <c r="D17" s="93"/>
      <c r="E17" s="67"/>
      <c r="F17" s="67"/>
      <c r="G17" s="95" t="s">
        <v>167</v>
      </c>
      <c r="H17" s="96"/>
      <c r="I17" s="96"/>
      <c r="J17" s="96"/>
      <c r="K17" s="98"/>
      <c r="L17" s="38"/>
      <c r="M17" s="71"/>
      <c r="N17" s="96">
        <f>SUM(N3:P16)</f>
        <v>1875.5</v>
      </c>
      <c r="O17" s="67"/>
      <c r="P17" s="67"/>
    </row>
    <row r="18">
      <c r="A18" s="100" t="s">
        <v>170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3" t="s">
        <v>1</v>
      </c>
      <c r="B19" s="2"/>
      <c r="C19" s="2"/>
      <c r="D19" s="3" t="s">
        <v>2</v>
      </c>
      <c r="E19" s="2"/>
      <c r="F19" s="4"/>
      <c r="G19" s="5" t="s">
        <v>3</v>
      </c>
      <c r="H19" s="6"/>
      <c r="I19" s="6"/>
      <c r="J19" s="6"/>
      <c r="K19" s="6"/>
      <c r="L19" s="6"/>
      <c r="M19" s="6"/>
      <c r="N19" s="9" t="s">
        <v>5</v>
      </c>
      <c r="O19" s="2"/>
      <c r="P19" s="4"/>
    </row>
    <row r="20">
      <c r="A20" s="14" t="s">
        <v>177</v>
      </c>
      <c r="B20" s="2"/>
      <c r="C20" s="2"/>
      <c r="D20" s="15" t="s">
        <v>155</v>
      </c>
      <c r="E20" s="2"/>
      <c r="F20" s="4"/>
      <c r="G20" s="17">
        <v>1.0</v>
      </c>
      <c r="H20" s="20">
        <v>700.0</v>
      </c>
      <c r="I20" s="2"/>
      <c r="J20" s="4"/>
      <c r="K20" s="20">
        <v>800.0</v>
      </c>
      <c r="L20" s="2"/>
      <c r="M20" s="4"/>
      <c r="N20" s="22">
        <v>800.0</v>
      </c>
      <c r="O20" s="2"/>
      <c r="P20" s="4"/>
    </row>
    <row r="21">
      <c r="A21" s="14" t="s">
        <v>14</v>
      </c>
      <c r="B21" s="2"/>
      <c r="C21" s="2"/>
      <c r="D21" s="101" t="s">
        <v>178</v>
      </c>
      <c r="E21" s="2"/>
      <c r="F21" s="4"/>
      <c r="G21" s="17">
        <v>1.0</v>
      </c>
      <c r="H21" s="102">
        <v>150.0</v>
      </c>
      <c r="I21" s="2"/>
      <c r="J21" s="4"/>
      <c r="K21" s="102">
        <v>165.0</v>
      </c>
      <c r="L21" s="2"/>
      <c r="M21" s="4"/>
      <c r="N21" s="102">
        <v>165.0</v>
      </c>
      <c r="O21" s="2"/>
      <c r="P21" s="4"/>
    </row>
    <row r="22">
      <c r="A22" s="14" t="s">
        <v>179</v>
      </c>
      <c r="B22" s="2"/>
      <c r="C22" s="2"/>
      <c r="D22" s="103" t="s">
        <v>180</v>
      </c>
      <c r="E22" s="2"/>
      <c r="F22" s="4"/>
      <c r="G22" s="104">
        <v>1.0</v>
      </c>
      <c r="H22" s="102">
        <v>79.99</v>
      </c>
      <c r="I22" s="2"/>
      <c r="J22" s="4"/>
      <c r="K22" s="102">
        <v>90.0</v>
      </c>
      <c r="L22" s="2"/>
      <c r="M22" s="4"/>
      <c r="N22" s="102">
        <v>120.0</v>
      </c>
      <c r="O22" s="2"/>
      <c r="P22" s="4"/>
    </row>
    <row r="23">
      <c r="A23" s="14" t="s">
        <v>179</v>
      </c>
      <c r="B23" s="2"/>
      <c r="C23" s="2"/>
      <c r="D23" s="103" t="s">
        <v>185</v>
      </c>
      <c r="E23" s="2"/>
      <c r="F23" s="4"/>
      <c r="G23" s="104">
        <v>1.0</v>
      </c>
      <c r="H23" s="102">
        <v>384.93</v>
      </c>
      <c r="I23" s="2"/>
      <c r="J23" s="4"/>
      <c r="K23" s="102">
        <v>400.0</v>
      </c>
      <c r="L23" s="2"/>
      <c r="M23" s="4"/>
      <c r="N23" s="102">
        <v>420.0</v>
      </c>
      <c r="O23" s="2"/>
      <c r="P23" s="4"/>
    </row>
    <row r="24">
      <c r="A24" s="14" t="s">
        <v>179</v>
      </c>
      <c r="B24" s="2"/>
      <c r="C24" s="2"/>
      <c r="D24" s="101" t="s">
        <v>188</v>
      </c>
      <c r="E24" s="2"/>
      <c r="F24" s="4"/>
      <c r="G24" s="104">
        <v>1.0</v>
      </c>
      <c r="H24" s="102">
        <v>60.0</v>
      </c>
      <c r="I24" s="2"/>
      <c r="J24" s="4"/>
      <c r="K24" s="102">
        <v>70.0</v>
      </c>
      <c r="L24" s="2"/>
      <c r="M24" s="4"/>
      <c r="N24" s="106">
        <v>90.0</v>
      </c>
      <c r="O24" s="2"/>
      <c r="P24" s="4"/>
    </row>
    <row r="25">
      <c r="A25" s="14" t="s">
        <v>14</v>
      </c>
      <c r="B25" s="2"/>
      <c r="C25" s="2"/>
      <c r="D25" s="15" t="s">
        <v>189</v>
      </c>
      <c r="E25" s="2"/>
      <c r="F25" s="4"/>
      <c r="G25" s="17">
        <v>1.0</v>
      </c>
      <c r="H25" s="32">
        <v>200.0</v>
      </c>
      <c r="I25" s="2"/>
      <c r="J25" s="4"/>
      <c r="K25" s="32">
        <v>240.0</v>
      </c>
      <c r="L25" s="2"/>
      <c r="M25" s="4"/>
      <c r="N25" s="22">
        <v>210.0</v>
      </c>
      <c r="O25" s="2"/>
      <c r="P25" s="4"/>
    </row>
    <row r="26">
      <c r="A26" s="91"/>
      <c r="B26" s="92"/>
      <c r="C26" s="92"/>
      <c r="D26" s="93"/>
      <c r="E26" s="67"/>
      <c r="F26" s="67"/>
      <c r="G26" s="95" t="s">
        <v>167</v>
      </c>
      <c r="H26" s="110"/>
      <c r="I26" s="110"/>
      <c r="J26" s="110"/>
      <c r="K26" s="110"/>
      <c r="L26" s="110"/>
      <c r="M26" s="110"/>
      <c r="N26" s="110">
        <f>sum(N20:P25)</f>
        <v>1805</v>
      </c>
      <c r="O26" s="67"/>
      <c r="P26" s="67"/>
    </row>
    <row r="27">
      <c r="A27" s="100" t="s">
        <v>195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3" t="s">
        <v>1</v>
      </c>
      <c r="B28" s="2"/>
      <c r="C28" s="2"/>
      <c r="D28" s="3" t="s">
        <v>2</v>
      </c>
      <c r="E28" s="2"/>
      <c r="F28" s="4"/>
      <c r="G28" s="5" t="s">
        <v>3</v>
      </c>
      <c r="H28" s="113" t="s">
        <v>197</v>
      </c>
      <c r="I28" s="2"/>
      <c r="J28" s="4"/>
      <c r="K28" s="114" t="s">
        <v>198</v>
      </c>
      <c r="L28" s="2"/>
      <c r="M28" s="4"/>
      <c r="N28" s="9" t="s">
        <v>5</v>
      </c>
      <c r="O28" s="2"/>
      <c r="P28" s="4"/>
    </row>
    <row r="29">
      <c r="A29" s="111" t="s">
        <v>14</v>
      </c>
      <c r="B29" s="2"/>
      <c r="C29" s="2"/>
      <c r="D29" s="115" t="s">
        <v>199</v>
      </c>
      <c r="E29" s="2"/>
      <c r="F29" s="4"/>
      <c r="G29" s="116">
        <v>1.0</v>
      </c>
      <c r="H29" s="117">
        <v>475.0</v>
      </c>
      <c r="I29" s="2"/>
      <c r="J29" s="4"/>
      <c r="K29" s="117">
        <f>475*1.1</f>
        <v>522.5</v>
      </c>
      <c r="L29" s="2"/>
      <c r="M29" s="4"/>
      <c r="N29" s="117">
        <v>600.0</v>
      </c>
      <c r="O29" s="2"/>
      <c r="P29" s="4"/>
    </row>
    <row r="30">
      <c r="A30" s="118" t="s">
        <v>179</v>
      </c>
      <c r="B30" s="2"/>
      <c r="C30" s="2"/>
      <c r="D30" s="119" t="s">
        <v>202</v>
      </c>
      <c r="E30" s="2"/>
      <c r="F30" s="4"/>
      <c r="G30" s="104">
        <v>1.0</v>
      </c>
      <c r="H30" s="120"/>
      <c r="I30" s="2"/>
      <c r="J30" s="4"/>
      <c r="K30" s="120"/>
      <c r="L30" s="2"/>
      <c r="M30" s="4"/>
      <c r="N30" s="106">
        <v>750.0</v>
      </c>
      <c r="O30" s="2"/>
      <c r="P30" s="4"/>
    </row>
    <row r="31">
      <c r="A31" s="122"/>
      <c r="B31" s="67"/>
      <c r="C31" s="67"/>
      <c r="D31" s="93"/>
      <c r="E31" s="67"/>
      <c r="F31" s="67"/>
      <c r="G31" s="95" t="s">
        <v>167</v>
      </c>
      <c r="H31" s="110"/>
      <c r="I31" s="67"/>
      <c r="J31" s="78"/>
      <c r="K31" s="110">
        <f>SUM(K10:M30)</f>
        <v>3345.5</v>
      </c>
      <c r="L31" s="67"/>
      <c r="M31" s="78"/>
      <c r="N31" s="110">
        <f>SUM(N29:P30)</f>
        <v>1350</v>
      </c>
      <c r="O31" s="67"/>
      <c r="P31" s="78"/>
    </row>
    <row r="32">
      <c r="A32" s="123" t="s">
        <v>210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>
      <c r="A33" s="124" t="s">
        <v>212</v>
      </c>
      <c r="B33" s="2"/>
      <c r="C33" s="2"/>
      <c r="D33" s="2"/>
      <c r="E33" s="2"/>
      <c r="F33" s="2"/>
      <c r="G33" s="90">
        <v>10.0</v>
      </c>
      <c r="H33" s="125"/>
      <c r="I33" s="125"/>
      <c r="J33" s="125"/>
      <c r="K33" s="125"/>
      <c r="L33" s="125"/>
      <c r="M33" s="125"/>
      <c r="N33" s="3" t="s">
        <v>0</v>
      </c>
      <c r="O33" s="2"/>
      <c r="P33" s="2"/>
    </row>
    <row r="34">
      <c r="A34" s="124" t="s">
        <v>213</v>
      </c>
      <c r="B34" s="2"/>
      <c r="C34" s="2"/>
      <c r="D34" s="2"/>
      <c r="E34" s="2"/>
      <c r="F34" s="2"/>
      <c r="G34" s="126">
        <v>5000.0</v>
      </c>
      <c r="H34" s="127"/>
      <c r="I34" s="127"/>
      <c r="J34" s="127"/>
      <c r="K34" s="127"/>
      <c r="L34" s="127"/>
      <c r="M34" s="127"/>
      <c r="N34" s="127" t="s">
        <v>167</v>
      </c>
      <c r="O34" s="2"/>
      <c r="P34" s="128">
        <f>N17</f>
        <v>1875.5</v>
      </c>
    </row>
    <row r="35">
      <c r="A35" s="129"/>
      <c r="B35" s="129"/>
      <c r="C35" s="129"/>
      <c r="D35" s="129"/>
      <c r="E35" s="129"/>
      <c r="F35" s="129"/>
      <c r="G35" s="129"/>
      <c r="H35" s="130"/>
      <c r="I35" s="130"/>
      <c r="J35" s="130"/>
      <c r="K35" s="130"/>
      <c r="L35" s="130"/>
      <c r="M35" s="130"/>
      <c r="N35" s="3" t="s">
        <v>170</v>
      </c>
      <c r="O35" s="2"/>
      <c r="P35" s="2"/>
    </row>
    <row r="36">
      <c r="A36" s="129"/>
      <c r="B36" s="129"/>
      <c r="C36" s="129"/>
      <c r="D36" s="129"/>
      <c r="E36" s="129"/>
      <c r="F36" s="129"/>
      <c r="G36" s="129"/>
      <c r="H36" s="131"/>
      <c r="I36" s="131"/>
      <c r="J36" s="131"/>
      <c r="K36" s="131"/>
      <c r="L36" s="131"/>
      <c r="M36" s="131"/>
      <c r="N36" s="127" t="s">
        <v>167</v>
      </c>
      <c r="O36" s="2"/>
      <c r="P36" s="128">
        <f>N26</f>
        <v>1805</v>
      </c>
    </row>
    <row r="37">
      <c r="A37" s="129"/>
      <c r="B37" s="129"/>
      <c r="C37" s="129"/>
      <c r="D37" s="129"/>
      <c r="E37" s="129"/>
      <c r="F37" s="129"/>
      <c r="G37" s="129"/>
      <c r="H37" s="130"/>
      <c r="I37" s="130"/>
      <c r="J37" s="130"/>
      <c r="K37" s="130"/>
      <c r="L37" s="130"/>
      <c r="M37" s="130"/>
      <c r="N37" s="3" t="s">
        <v>195</v>
      </c>
      <c r="O37" s="2"/>
      <c r="P37" s="2"/>
    </row>
    <row r="38">
      <c r="A38" s="129"/>
      <c r="B38" s="129"/>
      <c r="C38" s="129"/>
      <c r="D38" s="129"/>
      <c r="E38" s="129"/>
      <c r="F38" s="129"/>
      <c r="G38" s="129"/>
      <c r="H38" s="131"/>
      <c r="I38" s="131"/>
      <c r="J38" s="131"/>
      <c r="K38" s="131"/>
      <c r="L38" s="131"/>
      <c r="M38" s="131"/>
      <c r="N38" s="127" t="s">
        <v>167</v>
      </c>
      <c r="O38" s="2"/>
      <c r="P38" s="128">
        <f>N31-P31</f>
        <v>1350</v>
      </c>
    </row>
    <row r="39">
      <c r="A39" s="129"/>
      <c r="B39" s="129"/>
      <c r="C39" s="129"/>
      <c r="D39" s="129"/>
      <c r="E39" s="129"/>
      <c r="F39" s="129"/>
      <c r="G39" s="129"/>
      <c r="H39" s="130"/>
      <c r="I39" s="130"/>
      <c r="J39" s="130"/>
      <c r="K39" s="130"/>
      <c r="L39" s="130"/>
      <c r="M39" s="130"/>
      <c r="N39" s="3" t="s">
        <v>221</v>
      </c>
      <c r="O39" s="2"/>
      <c r="P39" s="2"/>
    </row>
    <row r="40">
      <c r="A40" s="129"/>
      <c r="B40" s="129"/>
      <c r="C40" s="129"/>
      <c r="D40" s="129"/>
      <c r="E40" s="129"/>
      <c r="F40" s="129"/>
      <c r="G40" s="129"/>
      <c r="H40" s="131"/>
      <c r="I40" s="131"/>
      <c r="J40" s="131"/>
      <c r="K40" s="131"/>
      <c r="L40" s="131"/>
      <c r="M40" s="131"/>
      <c r="N40" s="127" t="s">
        <v>167</v>
      </c>
      <c r="O40" s="2"/>
      <c r="P40" s="128">
        <f>sum(P34,P36,P38)</f>
        <v>5030.5</v>
      </c>
    </row>
    <row r="50">
      <c r="R50" s="134"/>
    </row>
  </sheetData>
  <mergeCells count="155">
    <mergeCell ref="A5:C5"/>
    <mergeCell ref="A6:C6"/>
    <mergeCell ref="D6:F6"/>
    <mergeCell ref="A7:C7"/>
    <mergeCell ref="D7:F7"/>
    <mergeCell ref="A8:C8"/>
    <mergeCell ref="D8:F8"/>
    <mergeCell ref="A10:C10"/>
    <mergeCell ref="D10:F10"/>
    <mergeCell ref="A12:C12"/>
    <mergeCell ref="D12:F12"/>
    <mergeCell ref="A13:C13"/>
    <mergeCell ref="D13:F13"/>
    <mergeCell ref="D14:F14"/>
    <mergeCell ref="A14:C14"/>
    <mergeCell ref="A15:C15"/>
    <mergeCell ref="A16:C16"/>
    <mergeCell ref="A17:C17"/>
    <mergeCell ref="A19:C19"/>
    <mergeCell ref="A20:C20"/>
    <mergeCell ref="A21:C21"/>
    <mergeCell ref="D23:F23"/>
    <mergeCell ref="D24:F24"/>
    <mergeCell ref="D25:F25"/>
    <mergeCell ref="D26:F26"/>
    <mergeCell ref="D28:F28"/>
    <mergeCell ref="D29:F29"/>
    <mergeCell ref="D30:F30"/>
    <mergeCell ref="D31:F31"/>
    <mergeCell ref="D15:F15"/>
    <mergeCell ref="D16:F16"/>
    <mergeCell ref="D17:F17"/>
    <mergeCell ref="D19:F19"/>
    <mergeCell ref="D20:F20"/>
    <mergeCell ref="D21:F21"/>
    <mergeCell ref="D22:F22"/>
    <mergeCell ref="A30:C30"/>
    <mergeCell ref="A31:C31"/>
    <mergeCell ref="A33:F33"/>
    <mergeCell ref="A34:F34"/>
    <mergeCell ref="A22:C22"/>
    <mergeCell ref="A23:C23"/>
    <mergeCell ref="A24:C24"/>
    <mergeCell ref="A25:C25"/>
    <mergeCell ref="A26:C26"/>
    <mergeCell ref="A28:C28"/>
    <mergeCell ref="A29:C29"/>
    <mergeCell ref="H3:J3"/>
    <mergeCell ref="K3:M3"/>
    <mergeCell ref="R2:V2"/>
    <mergeCell ref="S3:V3"/>
    <mergeCell ref="S4:V4"/>
    <mergeCell ref="S5:V5"/>
    <mergeCell ref="S6:V6"/>
    <mergeCell ref="S7:V7"/>
    <mergeCell ref="S8:V8"/>
    <mergeCell ref="S9:V11"/>
    <mergeCell ref="A1:P1"/>
    <mergeCell ref="A2:C2"/>
    <mergeCell ref="D2:F2"/>
    <mergeCell ref="N2:P2"/>
    <mergeCell ref="A3:C3"/>
    <mergeCell ref="D3:F3"/>
    <mergeCell ref="N3:P3"/>
    <mergeCell ref="A4:C4"/>
    <mergeCell ref="D4:F4"/>
    <mergeCell ref="H4:J4"/>
    <mergeCell ref="K4:M4"/>
    <mergeCell ref="N4:P4"/>
    <mergeCell ref="D5:F5"/>
    <mergeCell ref="N5:P5"/>
    <mergeCell ref="H7:J7"/>
    <mergeCell ref="H8:J8"/>
    <mergeCell ref="K8:M8"/>
    <mergeCell ref="N8:P8"/>
    <mergeCell ref="H5:J5"/>
    <mergeCell ref="K5:M5"/>
    <mergeCell ref="H6:J6"/>
    <mergeCell ref="K6:M6"/>
    <mergeCell ref="N6:P6"/>
    <mergeCell ref="K7:M7"/>
    <mergeCell ref="N7:P7"/>
    <mergeCell ref="K12:M12"/>
    <mergeCell ref="N12:P12"/>
    <mergeCell ref="H23:J23"/>
    <mergeCell ref="K23:M23"/>
    <mergeCell ref="N23:P23"/>
    <mergeCell ref="H24:J24"/>
    <mergeCell ref="K24:M24"/>
    <mergeCell ref="N24:P24"/>
    <mergeCell ref="H25:J25"/>
    <mergeCell ref="K25:M25"/>
    <mergeCell ref="N25:P25"/>
    <mergeCell ref="N26:P26"/>
    <mergeCell ref="A27:P27"/>
    <mergeCell ref="H28:J28"/>
    <mergeCell ref="K28:M28"/>
    <mergeCell ref="N28:P28"/>
    <mergeCell ref="H29:J29"/>
    <mergeCell ref="K29:M29"/>
    <mergeCell ref="N29:P29"/>
    <mergeCell ref="H30:J30"/>
    <mergeCell ref="K30:M30"/>
    <mergeCell ref="N30:P30"/>
    <mergeCell ref="H31:J31"/>
    <mergeCell ref="N37:P37"/>
    <mergeCell ref="N38:O38"/>
    <mergeCell ref="N39:P39"/>
    <mergeCell ref="N40:O40"/>
    <mergeCell ref="K31:M31"/>
    <mergeCell ref="N31:P31"/>
    <mergeCell ref="A32:P32"/>
    <mergeCell ref="N33:P33"/>
    <mergeCell ref="N34:O34"/>
    <mergeCell ref="N35:P35"/>
    <mergeCell ref="N36:O36"/>
    <mergeCell ref="D9:F9"/>
    <mergeCell ref="H9:J9"/>
    <mergeCell ref="K9:M9"/>
    <mergeCell ref="N9:P9"/>
    <mergeCell ref="H10:J10"/>
    <mergeCell ref="K10:M10"/>
    <mergeCell ref="N10:P10"/>
    <mergeCell ref="A9:C9"/>
    <mergeCell ref="A11:C11"/>
    <mergeCell ref="D11:F11"/>
    <mergeCell ref="H11:J11"/>
    <mergeCell ref="K11:M11"/>
    <mergeCell ref="N11:P11"/>
    <mergeCell ref="H12:J12"/>
    <mergeCell ref="K15:M15"/>
    <mergeCell ref="N15:P15"/>
    <mergeCell ref="H13:J13"/>
    <mergeCell ref="K13:M13"/>
    <mergeCell ref="N13:P13"/>
    <mergeCell ref="H14:J14"/>
    <mergeCell ref="K14:M14"/>
    <mergeCell ref="N14:P14"/>
    <mergeCell ref="H15:J15"/>
    <mergeCell ref="H16:J16"/>
    <mergeCell ref="K16:M16"/>
    <mergeCell ref="N16:P16"/>
    <mergeCell ref="K17:M17"/>
    <mergeCell ref="N17:P17"/>
    <mergeCell ref="A18:P18"/>
    <mergeCell ref="N19:P19"/>
    <mergeCell ref="K22:M22"/>
    <mergeCell ref="N22:P22"/>
    <mergeCell ref="H20:J20"/>
    <mergeCell ref="K20:M20"/>
    <mergeCell ref="N20:P20"/>
    <mergeCell ref="H21:J21"/>
    <mergeCell ref="K21:M21"/>
    <mergeCell ref="N21:P21"/>
    <mergeCell ref="H22:J22"/>
  </mergeCells>
  <hyperlinks>
    <hyperlink r:id="rId1" ref="D22"/>
    <hyperlink r:id="rId2" ref="D2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0.38"/>
    <col customWidth="1" min="6" max="6" width="25.75"/>
    <col customWidth="1" min="7" max="9" width="26.88"/>
    <col customWidth="1" min="10" max="10" width="13.5"/>
    <col customWidth="1" min="11" max="17" width="6.63"/>
    <col customWidth="1" min="18" max="18" width="5.63"/>
    <col customWidth="1" min="19" max="20" width="10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7">
        <v>328.0</v>
      </c>
    </row>
    <row r="2">
      <c r="A2" s="3" t="s">
        <v>1</v>
      </c>
      <c r="B2" s="2"/>
      <c r="C2" s="2"/>
      <c r="D2" s="3" t="s">
        <v>2</v>
      </c>
      <c r="E2" s="2"/>
      <c r="F2" s="4"/>
      <c r="G2" s="3" t="s">
        <v>8</v>
      </c>
      <c r="H2" s="2"/>
      <c r="I2" s="4"/>
      <c r="J2" s="5" t="s">
        <v>3</v>
      </c>
      <c r="K2" s="9" t="s">
        <v>13</v>
      </c>
      <c r="L2" s="2"/>
      <c r="M2" s="4"/>
      <c r="N2" s="9" t="s">
        <v>15</v>
      </c>
      <c r="O2" s="2"/>
      <c r="P2" s="4"/>
      <c r="Q2" s="9" t="s">
        <v>5</v>
      </c>
      <c r="R2" s="2"/>
      <c r="S2" s="4"/>
      <c r="U2" s="11" t="s">
        <v>10</v>
      </c>
      <c r="V2" s="2"/>
      <c r="W2" s="2"/>
      <c r="X2" s="2"/>
      <c r="Y2" s="4"/>
    </row>
    <row r="3">
      <c r="A3" s="14" t="s">
        <v>14</v>
      </c>
      <c r="B3" s="2"/>
      <c r="C3" s="2"/>
      <c r="D3" s="15" t="s">
        <v>18</v>
      </c>
      <c r="E3" s="2"/>
      <c r="F3" s="4"/>
      <c r="G3" s="15" t="s">
        <v>18</v>
      </c>
      <c r="H3" s="2"/>
      <c r="I3" s="4"/>
      <c r="J3" s="17">
        <v>2.0</v>
      </c>
      <c r="K3" s="20">
        <v>30.0</v>
      </c>
      <c r="L3" s="2"/>
      <c r="M3" s="4"/>
      <c r="N3" s="20">
        <v>36.0</v>
      </c>
      <c r="O3" s="2"/>
      <c r="P3" s="4"/>
      <c r="Q3" s="22">
        <v>51.0</v>
      </c>
      <c r="R3" s="2"/>
      <c r="S3" s="4"/>
      <c r="U3" s="24" t="s">
        <v>1</v>
      </c>
      <c r="V3" s="11" t="s">
        <v>23</v>
      </c>
      <c r="W3" s="2"/>
      <c r="X3" s="2"/>
      <c r="Y3" s="4"/>
    </row>
    <row r="4">
      <c r="A4" s="14" t="s">
        <v>14</v>
      </c>
      <c r="B4" s="2"/>
      <c r="C4" s="2"/>
      <c r="D4" s="35" t="s">
        <v>28</v>
      </c>
      <c r="E4" s="2"/>
      <c r="F4" s="4"/>
      <c r="G4" s="35" t="s">
        <v>28</v>
      </c>
      <c r="H4" s="2"/>
      <c r="I4" s="4"/>
      <c r="J4" s="40">
        <v>2.0</v>
      </c>
      <c r="K4" s="43">
        <v>60.0</v>
      </c>
      <c r="L4" s="2"/>
      <c r="M4" s="4"/>
      <c r="N4" s="20">
        <v>72.0</v>
      </c>
      <c r="O4" s="2"/>
      <c r="P4" s="4"/>
      <c r="Q4" s="32">
        <v>102.0</v>
      </c>
      <c r="R4" s="2"/>
      <c r="S4" s="4"/>
      <c r="T4" s="7" t="s">
        <v>50</v>
      </c>
      <c r="U4" s="34"/>
      <c r="V4" s="36" t="s">
        <v>36</v>
      </c>
      <c r="W4" s="38"/>
      <c r="X4" s="38"/>
      <c r="Y4" s="38"/>
    </row>
    <row r="5">
      <c r="A5" s="14" t="s">
        <v>14</v>
      </c>
      <c r="B5" s="2"/>
      <c r="C5" s="2"/>
      <c r="D5" s="51" t="s">
        <v>38</v>
      </c>
      <c r="E5" s="2"/>
      <c r="F5" s="4"/>
      <c r="G5" s="51" t="s">
        <v>38</v>
      </c>
      <c r="H5" s="2"/>
      <c r="I5" s="4"/>
      <c r="J5" s="54">
        <v>2.0</v>
      </c>
      <c r="K5" s="56">
        <v>240.0</v>
      </c>
      <c r="L5" s="2"/>
      <c r="M5" s="4"/>
      <c r="N5" s="20">
        <v>288.0</v>
      </c>
      <c r="O5" s="2"/>
      <c r="P5" s="4"/>
      <c r="Q5" s="22">
        <v>288.0</v>
      </c>
      <c r="R5" s="2"/>
      <c r="S5" s="4"/>
      <c r="T5" s="7" t="s">
        <v>75</v>
      </c>
      <c r="U5" s="34"/>
      <c r="V5" s="46" t="s">
        <v>44</v>
      </c>
    </row>
    <row r="6">
      <c r="A6" s="14" t="s">
        <v>14</v>
      </c>
      <c r="B6" s="2"/>
      <c r="C6" s="2"/>
      <c r="D6" s="51" t="s">
        <v>52</v>
      </c>
      <c r="E6" s="2"/>
      <c r="F6" s="4"/>
      <c r="G6" s="51" t="s">
        <v>52</v>
      </c>
      <c r="H6" s="2"/>
      <c r="I6" s="4"/>
      <c r="J6" s="54">
        <v>2.0</v>
      </c>
      <c r="K6" s="56">
        <v>28.0</v>
      </c>
      <c r="L6" s="2"/>
      <c r="M6" s="4"/>
      <c r="N6" s="20">
        <v>33.6</v>
      </c>
      <c r="O6" s="2"/>
      <c r="P6" s="4"/>
      <c r="Q6" s="22">
        <v>47.6</v>
      </c>
      <c r="R6" s="2"/>
      <c r="S6" s="4"/>
      <c r="U6" s="34"/>
      <c r="V6" s="46" t="s">
        <v>14</v>
      </c>
    </row>
    <row r="7">
      <c r="A7" s="14" t="s">
        <v>14</v>
      </c>
      <c r="B7" s="2"/>
      <c r="C7" s="2"/>
      <c r="D7" s="15" t="s">
        <v>60</v>
      </c>
      <c r="E7" s="2"/>
      <c r="F7" s="4"/>
      <c r="G7" s="15" t="s">
        <v>60</v>
      </c>
      <c r="H7" s="2"/>
      <c r="I7" s="4"/>
      <c r="J7" s="17">
        <v>2.0</v>
      </c>
      <c r="K7" s="20">
        <v>7.0</v>
      </c>
      <c r="L7" s="2"/>
      <c r="M7" s="4"/>
      <c r="N7" s="20">
        <v>8.4</v>
      </c>
      <c r="O7" s="2"/>
      <c r="P7" s="4"/>
      <c r="Q7" s="22">
        <v>11.9</v>
      </c>
      <c r="R7" s="2"/>
      <c r="S7" s="4"/>
      <c r="U7" s="34"/>
      <c r="V7" s="46" t="s">
        <v>64</v>
      </c>
    </row>
    <row r="8">
      <c r="A8" s="14"/>
      <c r="B8" s="2"/>
      <c r="C8" s="2"/>
      <c r="D8" s="15"/>
      <c r="E8" s="2"/>
      <c r="F8" s="4"/>
      <c r="G8" s="15"/>
      <c r="H8" s="2"/>
      <c r="I8" s="4"/>
      <c r="J8" s="17"/>
      <c r="K8" s="32"/>
      <c r="L8" s="2"/>
      <c r="M8" s="4"/>
      <c r="N8" s="32"/>
      <c r="O8" s="2"/>
      <c r="P8" s="4"/>
      <c r="Q8" s="22"/>
      <c r="R8" s="2"/>
      <c r="S8" s="4"/>
      <c r="U8" s="65"/>
      <c r="V8" s="66" t="s">
        <v>90</v>
      </c>
      <c r="W8" s="67"/>
      <c r="X8" s="67"/>
      <c r="Y8" s="67"/>
    </row>
    <row r="9">
      <c r="A9" s="14" t="s">
        <v>14</v>
      </c>
      <c r="B9" s="2"/>
      <c r="C9" s="2"/>
      <c r="D9" s="15" t="s">
        <v>147</v>
      </c>
      <c r="E9" s="2"/>
      <c r="F9" s="4"/>
      <c r="G9" s="88" t="s">
        <v>150</v>
      </c>
      <c r="H9" s="2"/>
      <c r="I9" s="4"/>
      <c r="J9" s="17">
        <v>2.0</v>
      </c>
      <c r="K9" s="20">
        <f>29.99*2</f>
        <v>59.98</v>
      </c>
      <c r="L9" s="2"/>
      <c r="M9" s="4"/>
      <c r="N9" s="32">
        <v>61.43</v>
      </c>
      <c r="O9" s="2"/>
      <c r="P9" s="4"/>
      <c r="Q9" s="32"/>
      <c r="R9" s="2"/>
      <c r="S9" s="4"/>
      <c r="U9" s="24" t="s">
        <v>2</v>
      </c>
      <c r="V9" s="70" t="s">
        <v>114</v>
      </c>
      <c r="W9" s="38"/>
      <c r="X9" s="38"/>
      <c r="Y9" s="71"/>
    </row>
    <row r="10">
      <c r="A10" s="14" t="s">
        <v>14</v>
      </c>
      <c r="B10" s="2"/>
      <c r="C10" s="2"/>
      <c r="D10" s="94" t="s">
        <v>166</v>
      </c>
      <c r="E10" s="2"/>
      <c r="F10" s="4"/>
      <c r="G10" s="94" t="s">
        <v>168</v>
      </c>
      <c r="H10" s="2"/>
      <c r="I10" s="4"/>
      <c r="J10" s="54"/>
      <c r="K10" s="97"/>
      <c r="L10" s="2"/>
      <c r="M10" s="4"/>
      <c r="N10" s="20"/>
      <c r="O10" s="2"/>
      <c r="P10" s="4"/>
      <c r="Q10" s="22"/>
      <c r="R10" s="2"/>
      <c r="S10" s="4"/>
      <c r="U10" s="34"/>
      <c r="V10" s="74"/>
      <c r="Y10" s="75"/>
    </row>
    <row r="11">
      <c r="A11" s="14" t="s">
        <v>14</v>
      </c>
      <c r="B11" s="2"/>
      <c r="C11" s="2"/>
      <c r="D11" s="99" t="s">
        <v>169</v>
      </c>
      <c r="E11" s="2"/>
      <c r="F11" s="4"/>
      <c r="G11" s="99" t="s">
        <v>168</v>
      </c>
      <c r="H11" s="2"/>
      <c r="I11" s="4"/>
      <c r="J11" s="17"/>
      <c r="K11" s="32"/>
      <c r="L11" s="2"/>
      <c r="M11" s="4"/>
      <c r="N11" s="20"/>
      <c r="O11" s="2"/>
      <c r="P11" s="4"/>
      <c r="Q11" s="22"/>
      <c r="R11" s="2"/>
      <c r="S11" s="4"/>
      <c r="U11" s="34"/>
      <c r="V11" s="74"/>
      <c r="Y11" s="75"/>
    </row>
    <row r="12">
      <c r="A12" s="14" t="s">
        <v>14</v>
      </c>
      <c r="B12" s="2"/>
      <c r="C12" s="2"/>
      <c r="D12" s="99" t="s">
        <v>174</v>
      </c>
      <c r="E12" s="2"/>
      <c r="F12" s="4"/>
      <c r="G12" s="88" t="s">
        <v>176</v>
      </c>
      <c r="H12" s="2"/>
      <c r="I12" s="4"/>
      <c r="J12" s="17">
        <v>2.0</v>
      </c>
      <c r="K12" s="32">
        <v>1.84</v>
      </c>
      <c r="L12" s="2"/>
      <c r="M12" s="4"/>
      <c r="N12" s="32">
        <v>2.21</v>
      </c>
      <c r="O12" s="2"/>
      <c r="P12" s="4"/>
      <c r="Q12" s="22">
        <v>2.5</v>
      </c>
      <c r="R12" s="2"/>
      <c r="S12" s="4"/>
      <c r="U12" s="34"/>
      <c r="V12" s="74"/>
      <c r="Y12" s="75"/>
    </row>
    <row r="13">
      <c r="A13" s="14" t="s">
        <v>14</v>
      </c>
      <c r="B13" s="2"/>
      <c r="C13" s="2"/>
      <c r="D13" s="15" t="s">
        <v>136</v>
      </c>
      <c r="E13" s="2"/>
      <c r="F13" s="4"/>
      <c r="G13" s="88" t="s">
        <v>181</v>
      </c>
      <c r="H13" s="2"/>
      <c r="I13" s="4"/>
      <c r="J13" s="17">
        <v>2.0</v>
      </c>
      <c r="K13" s="32">
        <f>2.89*2</f>
        <v>5.78</v>
      </c>
      <c r="L13" s="2"/>
      <c r="M13" s="4"/>
      <c r="N13" s="32">
        <v>14.47</v>
      </c>
      <c r="O13" s="2"/>
      <c r="P13" s="4"/>
      <c r="Q13" s="32"/>
      <c r="R13" s="2"/>
      <c r="S13" s="4"/>
      <c r="U13" s="65"/>
      <c r="V13" s="76"/>
      <c r="W13" s="67"/>
      <c r="X13" s="67"/>
      <c r="Y13" s="78"/>
    </row>
    <row r="14">
      <c r="A14" s="14" t="s">
        <v>14</v>
      </c>
      <c r="B14" s="2"/>
      <c r="C14" s="2"/>
      <c r="D14" s="105" t="s">
        <v>155</v>
      </c>
      <c r="E14" s="2"/>
      <c r="F14" s="4"/>
      <c r="G14" s="107" t="s">
        <v>187</v>
      </c>
      <c r="H14" s="2"/>
      <c r="I14" s="4"/>
      <c r="J14" s="108">
        <v>1.0</v>
      </c>
      <c r="K14" s="109">
        <v>700.0</v>
      </c>
      <c r="L14" s="2"/>
      <c r="M14" s="4"/>
      <c r="N14" s="32">
        <v>800.0</v>
      </c>
      <c r="O14" s="2"/>
      <c r="P14" s="4"/>
      <c r="Q14" s="32">
        <v>800.0</v>
      </c>
      <c r="R14" s="2"/>
      <c r="S14" s="4"/>
      <c r="U14" s="84"/>
      <c r="V14" s="11"/>
      <c r="W14" s="85"/>
      <c r="X14" s="85"/>
      <c r="Y14" s="87"/>
    </row>
    <row r="15">
      <c r="A15" s="111" t="s">
        <v>14</v>
      </c>
      <c r="B15" s="2"/>
      <c r="C15" s="2"/>
      <c r="D15" s="112" t="s">
        <v>194</v>
      </c>
      <c r="E15" s="2"/>
      <c r="F15" s="4"/>
      <c r="G15" s="121" t="s">
        <v>196</v>
      </c>
      <c r="H15" s="2"/>
      <c r="I15" s="4"/>
      <c r="J15" s="116">
        <v>1.0</v>
      </c>
      <c r="K15" s="32">
        <v>4.05</v>
      </c>
      <c r="L15" s="2"/>
      <c r="M15" s="4"/>
      <c r="N15" s="32">
        <f>6.41+4.05</f>
        <v>10.46</v>
      </c>
      <c r="O15" s="2"/>
      <c r="P15" s="4"/>
      <c r="Q15" s="32"/>
      <c r="R15" s="2"/>
      <c r="S15" s="4"/>
      <c r="U15" s="84"/>
      <c r="V15" s="11"/>
      <c r="W15" s="85"/>
      <c r="X15" s="85"/>
      <c r="Y15" s="87"/>
    </row>
    <row r="16">
      <c r="A16" s="14" t="s">
        <v>14</v>
      </c>
      <c r="B16" s="2"/>
      <c r="C16" s="2"/>
      <c r="D16" s="15" t="s">
        <v>206</v>
      </c>
      <c r="E16" s="2"/>
      <c r="F16" s="4"/>
      <c r="G16" s="88" t="s">
        <v>209</v>
      </c>
      <c r="H16" s="2"/>
      <c r="I16" s="4"/>
      <c r="J16" s="17">
        <v>1.0</v>
      </c>
      <c r="K16" s="32">
        <v>0.99</v>
      </c>
      <c r="L16" s="2"/>
      <c r="M16" s="4"/>
      <c r="N16" s="32">
        <v>1.11</v>
      </c>
      <c r="O16" s="2"/>
      <c r="P16" s="4"/>
      <c r="Q16" s="32"/>
      <c r="R16" s="2"/>
      <c r="S16" s="4"/>
      <c r="U16" s="84"/>
      <c r="V16" s="11"/>
      <c r="W16" s="85"/>
      <c r="X16" s="85"/>
      <c r="Y16" s="87"/>
    </row>
    <row r="17">
      <c r="A17" s="14" t="s">
        <v>14</v>
      </c>
      <c r="B17" s="2"/>
      <c r="C17" s="2"/>
      <c r="D17" s="15" t="s">
        <v>222</v>
      </c>
      <c r="E17" s="2"/>
      <c r="F17" s="4"/>
      <c r="G17" s="15" t="s">
        <v>168</v>
      </c>
      <c r="H17" s="2"/>
      <c r="I17" s="4"/>
      <c r="J17" s="17">
        <v>1.0</v>
      </c>
      <c r="K17" s="32"/>
      <c r="L17" s="2"/>
      <c r="M17" s="4"/>
      <c r="N17" s="32"/>
      <c r="O17" s="2"/>
      <c r="P17" s="4"/>
      <c r="Q17" s="32"/>
      <c r="R17" s="2"/>
      <c r="S17" s="4"/>
      <c r="U17" s="84"/>
      <c r="V17" s="11"/>
      <c r="W17" s="85"/>
      <c r="X17" s="85"/>
      <c r="Y17" s="87"/>
    </row>
    <row r="18">
      <c r="A18" s="14" t="s">
        <v>14</v>
      </c>
      <c r="B18" s="2"/>
      <c r="C18" s="2"/>
      <c r="D18" s="15" t="s">
        <v>223</v>
      </c>
      <c r="E18" s="2"/>
      <c r="F18" s="4"/>
      <c r="G18" s="88" t="s">
        <v>225</v>
      </c>
      <c r="H18" s="2"/>
      <c r="I18" s="4"/>
      <c r="J18" s="17">
        <v>1.0</v>
      </c>
      <c r="K18" s="32">
        <v>9.99</v>
      </c>
      <c r="L18" s="2"/>
      <c r="M18" s="4"/>
      <c r="N18" s="32">
        <v>11.11</v>
      </c>
      <c r="O18" s="2"/>
      <c r="P18" s="4"/>
      <c r="Q18" s="32"/>
      <c r="R18" s="2"/>
      <c r="S18" s="4"/>
      <c r="U18" s="84"/>
      <c r="V18" s="11"/>
      <c r="W18" s="85"/>
      <c r="X18" s="85"/>
      <c r="Y18" s="87"/>
    </row>
    <row r="19">
      <c r="A19" s="14" t="s">
        <v>14</v>
      </c>
      <c r="B19" s="2"/>
      <c r="C19" s="2"/>
      <c r="D19" s="15" t="s">
        <v>230</v>
      </c>
      <c r="E19" s="2"/>
      <c r="F19" s="4"/>
      <c r="G19" s="88" t="s">
        <v>231</v>
      </c>
      <c r="H19" s="2"/>
      <c r="I19" s="4"/>
      <c r="J19" s="17">
        <v>1.0</v>
      </c>
      <c r="K19" s="32">
        <v>5.48</v>
      </c>
      <c r="L19" s="2"/>
      <c r="M19" s="4"/>
      <c r="N19" s="32">
        <v>5.86</v>
      </c>
      <c r="O19" s="2"/>
      <c r="P19" s="4"/>
      <c r="Q19" s="32"/>
      <c r="R19" s="2"/>
      <c r="S19" s="4"/>
      <c r="U19" s="84"/>
      <c r="V19" s="11"/>
      <c r="W19" s="85"/>
      <c r="X19" s="85"/>
      <c r="Y19" s="87"/>
    </row>
    <row r="20">
      <c r="A20" s="14" t="s">
        <v>14</v>
      </c>
      <c r="B20" s="2"/>
      <c r="C20" s="2"/>
      <c r="D20" s="15" t="s">
        <v>164</v>
      </c>
      <c r="E20" s="2"/>
      <c r="F20" s="4"/>
      <c r="G20" s="88" t="s">
        <v>233</v>
      </c>
      <c r="H20" s="2"/>
      <c r="I20" s="4"/>
      <c r="J20" s="17">
        <v>1.0</v>
      </c>
      <c r="K20" s="32">
        <v>63.0</v>
      </c>
      <c r="L20" s="2"/>
      <c r="M20" s="4"/>
      <c r="N20" s="32">
        <v>70.0</v>
      </c>
      <c r="O20" s="2"/>
      <c r="P20" s="4"/>
      <c r="Q20" s="32"/>
      <c r="R20" s="2"/>
      <c r="S20" s="4"/>
      <c r="U20" s="89" t="s">
        <v>3</v>
      </c>
      <c r="V20" s="11" t="s">
        <v>7</v>
      </c>
      <c r="W20" s="85"/>
      <c r="X20" s="85"/>
      <c r="Y20" s="87"/>
    </row>
    <row r="21">
      <c r="A21" s="14" t="s">
        <v>14</v>
      </c>
      <c r="B21" s="2"/>
      <c r="C21" s="2"/>
      <c r="D21" s="136" t="s">
        <v>234</v>
      </c>
      <c r="E21" s="2"/>
      <c r="F21" s="4"/>
      <c r="G21" s="137" t="s">
        <v>235</v>
      </c>
      <c r="H21" s="2"/>
      <c r="I21" s="4"/>
      <c r="J21" s="138">
        <v>1.0</v>
      </c>
      <c r="K21" s="139">
        <v>9.99</v>
      </c>
      <c r="L21" s="2"/>
      <c r="M21" s="4"/>
      <c r="N21" s="32"/>
      <c r="O21" s="2"/>
      <c r="P21" s="4"/>
      <c r="Q21" s="32"/>
      <c r="R21" s="2"/>
      <c r="S21" s="4"/>
    </row>
    <row r="22">
      <c r="A22" s="14" t="s">
        <v>14</v>
      </c>
      <c r="B22" s="2"/>
      <c r="C22" s="2"/>
      <c r="D22" s="15" t="s">
        <v>236</v>
      </c>
      <c r="E22" s="2"/>
      <c r="F22" s="4"/>
      <c r="G22" s="88" t="s">
        <v>237</v>
      </c>
      <c r="H22" s="2"/>
      <c r="I22" s="4"/>
      <c r="J22" s="90">
        <v>1.0</v>
      </c>
      <c r="K22" s="32">
        <v>55.0</v>
      </c>
      <c r="L22" s="2"/>
      <c r="M22" s="4"/>
      <c r="N22" s="32">
        <v>65.0</v>
      </c>
      <c r="O22" s="2"/>
      <c r="P22" s="4"/>
      <c r="Q22" s="32"/>
      <c r="R22" s="2"/>
      <c r="S22" s="4"/>
    </row>
    <row r="23">
      <c r="A23" s="91"/>
      <c r="B23" s="92"/>
      <c r="C23" s="92"/>
      <c r="D23" s="93"/>
      <c r="E23" s="67"/>
      <c r="F23" s="67"/>
      <c r="G23" s="143"/>
      <c r="H23" s="67"/>
      <c r="I23" s="67"/>
      <c r="J23" s="95" t="s">
        <v>167</v>
      </c>
      <c r="K23" s="96"/>
      <c r="L23" s="96"/>
      <c r="M23" s="96"/>
      <c r="N23" s="98"/>
      <c r="O23" s="38"/>
      <c r="P23" s="71"/>
      <c r="Q23" s="96">
        <f>SUM(Q3:S22)</f>
        <v>1303</v>
      </c>
      <c r="R23" s="67"/>
      <c r="S23" s="67"/>
    </row>
    <row r="24">
      <c r="A24" s="100" t="s">
        <v>170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52">
        <f>165+120+420+90</f>
        <v>795</v>
      </c>
    </row>
    <row r="25">
      <c r="A25" s="3" t="s">
        <v>1</v>
      </c>
      <c r="B25" s="2"/>
      <c r="C25" s="2"/>
      <c r="D25" s="3" t="s">
        <v>2</v>
      </c>
      <c r="E25" s="2"/>
      <c r="F25" s="4"/>
      <c r="G25" s="3" t="s">
        <v>8</v>
      </c>
      <c r="H25" s="2"/>
      <c r="I25" s="4"/>
      <c r="J25" s="5" t="s">
        <v>3</v>
      </c>
      <c r="K25" s="6"/>
      <c r="L25" s="6"/>
      <c r="M25" s="6"/>
      <c r="N25" s="6"/>
      <c r="O25" s="6"/>
      <c r="P25" s="6"/>
      <c r="Q25" s="9" t="s">
        <v>5</v>
      </c>
      <c r="R25" s="2"/>
      <c r="S25" s="4"/>
      <c r="T25" s="7" t="s">
        <v>245</v>
      </c>
    </row>
    <row r="26">
      <c r="A26" s="14" t="s">
        <v>177</v>
      </c>
      <c r="B26" s="2"/>
      <c r="C26" s="2"/>
      <c r="D26" s="15" t="s">
        <v>155</v>
      </c>
      <c r="E26" s="2"/>
      <c r="F26" s="4"/>
      <c r="G26" s="15" t="s">
        <v>155</v>
      </c>
      <c r="H26" s="2"/>
      <c r="I26" s="4"/>
      <c r="J26" s="17">
        <v>1.0</v>
      </c>
      <c r="K26" s="20">
        <v>700.0</v>
      </c>
      <c r="L26" s="2"/>
      <c r="M26" s="4"/>
      <c r="N26" s="20">
        <v>800.0</v>
      </c>
      <c r="O26" s="2"/>
      <c r="P26" s="4"/>
      <c r="Q26" s="22">
        <v>800.0</v>
      </c>
      <c r="R26" s="2"/>
      <c r="S26" s="4"/>
    </row>
    <row r="27">
      <c r="A27" s="158" t="s">
        <v>14</v>
      </c>
      <c r="B27" s="2"/>
      <c r="C27" s="2"/>
      <c r="D27" s="159" t="s">
        <v>178</v>
      </c>
      <c r="E27" s="2"/>
      <c r="F27" s="4"/>
      <c r="G27" s="159" t="s">
        <v>178</v>
      </c>
      <c r="H27" s="2"/>
      <c r="I27" s="4"/>
      <c r="J27" s="40">
        <v>1.0</v>
      </c>
      <c r="K27" s="160">
        <v>150.0</v>
      </c>
      <c r="L27" s="2"/>
      <c r="M27" s="4"/>
      <c r="N27" s="160">
        <v>165.0</v>
      </c>
      <c r="O27" s="2"/>
      <c r="P27" s="4"/>
      <c r="Q27" s="102">
        <v>165.0</v>
      </c>
      <c r="R27" s="2"/>
      <c r="S27" s="4"/>
    </row>
    <row r="28">
      <c r="A28" s="158" t="s">
        <v>179</v>
      </c>
      <c r="B28" s="2"/>
      <c r="C28" s="2"/>
      <c r="D28" s="162" t="s">
        <v>180</v>
      </c>
      <c r="E28" s="2"/>
      <c r="F28" s="4"/>
      <c r="G28" s="162" t="s">
        <v>180</v>
      </c>
      <c r="H28" s="2"/>
      <c r="I28" s="4"/>
      <c r="J28" s="165">
        <v>1.0</v>
      </c>
      <c r="K28" s="160">
        <v>79.99</v>
      </c>
      <c r="L28" s="2"/>
      <c r="M28" s="4"/>
      <c r="N28" s="160">
        <v>90.0</v>
      </c>
      <c r="O28" s="2"/>
      <c r="P28" s="4"/>
      <c r="Q28" s="102">
        <v>120.0</v>
      </c>
      <c r="R28" s="2"/>
      <c r="S28" s="4"/>
    </row>
    <row r="29">
      <c r="A29" s="14"/>
      <c r="B29" s="2"/>
      <c r="C29" s="2"/>
      <c r="D29" s="167" t="s">
        <v>309</v>
      </c>
      <c r="E29" s="2"/>
      <c r="F29" s="4"/>
      <c r="G29" s="167" t="s">
        <v>314</v>
      </c>
      <c r="H29" s="2"/>
      <c r="I29" s="4"/>
      <c r="J29" s="104"/>
      <c r="K29" s="102"/>
      <c r="L29" s="2"/>
      <c r="M29" s="4"/>
      <c r="N29" s="102"/>
      <c r="O29" s="2"/>
      <c r="P29" s="4"/>
      <c r="Q29" s="102"/>
      <c r="R29" s="2"/>
      <c r="S29" s="4"/>
    </row>
    <row r="30">
      <c r="A30" s="158" t="s">
        <v>343</v>
      </c>
      <c r="B30" s="2"/>
      <c r="C30" s="2"/>
      <c r="D30" s="162" t="s">
        <v>185</v>
      </c>
      <c r="E30" s="2"/>
      <c r="F30" s="4"/>
      <c r="G30" s="162" t="s">
        <v>185</v>
      </c>
      <c r="H30" s="2"/>
      <c r="I30" s="4"/>
      <c r="J30" s="165">
        <v>1.0</v>
      </c>
      <c r="K30" s="160">
        <v>384.93</v>
      </c>
      <c r="L30" s="2"/>
      <c r="M30" s="4"/>
      <c r="N30" s="102">
        <v>400.0</v>
      </c>
      <c r="O30" s="2"/>
      <c r="P30" s="4"/>
      <c r="Q30" s="102">
        <v>420.0</v>
      </c>
      <c r="R30" s="2"/>
      <c r="S30" s="4"/>
    </row>
    <row r="31">
      <c r="A31" s="158" t="s">
        <v>343</v>
      </c>
      <c r="B31" s="2"/>
      <c r="C31" s="2"/>
      <c r="D31" s="35" t="s">
        <v>188</v>
      </c>
      <c r="E31" s="2"/>
      <c r="F31" s="4"/>
      <c r="G31" s="159" t="s">
        <v>188</v>
      </c>
      <c r="H31" s="2"/>
      <c r="I31" s="4"/>
      <c r="J31" s="165">
        <v>1.0</v>
      </c>
      <c r="K31" s="160">
        <v>60.0</v>
      </c>
      <c r="L31" s="2"/>
      <c r="M31" s="4"/>
      <c r="N31" s="160">
        <v>70.0</v>
      </c>
      <c r="O31" s="2"/>
      <c r="P31" s="4"/>
      <c r="Q31" s="106">
        <v>90.0</v>
      </c>
      <c r="R31" s="2"/>
      <c r="S31" s="4"/>
    </row>
    <row r="32">
      <c r="A32" s="111" t="s">
        <v>14</v>
      </c>
      <c r="B32" s="2"/>
      <c r="C32" s="2"/>
      <c r="D32" s="112" t="s">
        <v>422</v>
      </c>
      <c r="E32" s="2"/>
      <c r="F32" s="4"/>
      <c r="G32" s="172" t="s">
        <v>432</v>
      </c>
      <c r="H32" s="2"/>
      <c r="I32" s="4"/>
      <c r="J32" s="116">
        <v>1.0</v>
      </c>
      <c r="K32" s="102">
        <v>9.99</v>
      </c>
      <c r="L32" s="2"/>
      <c r="M32" s="4"/>
      <c r="N32" s="102">
        <v>11.11</v>
      </c>
      <c r="O32" s="2"/>
      <c r="P32" s="4"/>
      <c r="Q32" s="102"/>
      <c r="R32" s="2"/>
      <c r="S32" s="4"/>
    </row>
    <row r="33">
      <c r="A33" s="173" t="s">
        <v>14</v>
      </c>
      <c r="B33" s="2"/>
      <c r="C33" s="2"/>
      <c r="D33" s="15" t="s">
        <v>462</v>
      </c>
      <c r="E33" s="2"/>
      <c r="F33" s="4"/>
      <c r="G33" s="172" t="s">
        <v>463</v>
      </c>
      <c r="H33" s="2"/>
      <c r="I33" s="4"/>
      <c r="J33" s="17">
        <v>1.0</v>
      </c>
      <c r="K33" s="102">
        <v>6.99</v>
      </c>
      <c r="L33" s="2"/>
      <c r="M33" s="4"/>
      <c r="N33" s="102">
        <v>7.67</v>
      </c>
      <c r="O33" s="2"/>
      <c r="P33" s="4"/>
      <c r="Q33" s="102"/>
      <c r="R33" s="2"/>
      <c r="S33" s="4"/>
    </row>
    <row r="34">
      <c r="A34" s="173" t="s">
        <v>14</v>
      </c>
      <c r="B34" s="2"/>
      <c r="C34" s="2"/>
      <c r="D34" s="15" t="s">
        <v>465</v>
      </c>
      <c r="E34" s="2"/>
      <c r="F34" s="4"/>
      <c r="G34" s="172" t="s">
        <v>466</v>
      </c>
      <c r="H34" s="2"/>
      <c r="I34" s="4"/>
      <c r="J34" s="17">
        <v>1.0</v>
      </c>
      <c r="K34" s="102">
        <v>16.48</v>
      </c>
      <c r="L34" s="2"/>
      <c r="M34" s="4"/>
      <c r="N34" s="102">
        <v>17.68</v>
      </c>
      <c r="O34" s="2"/>
      <c r="P34" s="4"/>
      <c r="Q34" s="102"/>
      <c r="R34" s="2"/>
      <c r="S34" s="4"/>
    </row>
    <row r="35">
      <c r="A35" s="158" t="s">
        <v>14</v>
      </c>
      <c r="B35" s="2"/>
      <c r="C35" s="2"/>
      <c r="D35" s="35" t="s">
        <v>189</v>
      </c>
      <c r="E35" s="2"/>
      <c r="F35" s="4"/>
      <c r="G35" s="35" t="s">
        <v>189</v>
      </c>
      <c r="H35" s="2"/>
      <c r="I35" s="4"/>
      <c r="J35" s="40">
        <v>1.0</v>
      </c>
      <c r="K35" s="176">
        <v>200.0</v>
      </c>
      <c r="L35" s="2"/>
      <c r="M35" s="4"/>
      <c r="N35" s="32">
        <v>240.0</v>
      </c>
      <c r="O35" s="2"/>
      <c r="P35" s="4"/>
      <c r="Q35" s="22">
        <v>210.0</v>
      </c>
      <c r="R35" s="2"/>
      <c r="S35" s="4"/>
    </row>
    <row r="36">
      <c r="A36" s="91"/>
      <c r="B36" s="92"/>
      <c r="C36" s="92"/>
      <c r="D36" s="93"/>
      <c r="E36" s="67"/>
      <c r="F36" s="67"/>
      <c r="G36" s="143"/>
      <c r="H36" s="67"/>
      <c r="I36" s="67"/>
      <c r="J36" s="95" t="s">
        <v>167</v>
      </c>
      <c r="K36" s="110"/>
      <c r="L36" s="110"/>
      <c r="M36" s="110"/>
      <c r="N36" s="110"/>
      <c r="O36" s="110"/>
      <c r="P36" s="110"/>
      <c r="Q36" s="110">
        <f>sum(Q26:S35)</f>
        <v>1805</v>
      </c>
      <c r="R36" s="67"/>
      <c r="S36" s="67"/>
    </row>
    <row r="37">
      <c r="A37" s="100" t="s">
        <v>195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3" t="s">
        <v>1</v>
      </c>
      <c r="B38" s="2"/>
      <c r="C38" s="2"/>
      <c r="D38" s="3" t="s">
        <v>2</v>
      </c>
      <c r="E38" s="2"/>
      <c r="F38" s="4"/>
      <c r="G38" s="3" t="s">
        <v>8</v>
      </c>
      <c r="H38" s="2"/>
      <c r="I38" s="4"/>
      <c r="J38" s="5" t="s">
        <v>3</v>
      </c>
      <c r="K38" s="113" t="s">
        <v>197</v>
      </c>
      <c r="L38" s="2"/>
      <c r="M38" s="4"/>
      <c r="N38" s="114" t="s">
        <v>198</v>
      </c>
      <c r="O38" s="2"/>
      <c r="P38" s="4"/>
      <c r="Q38" s="9" t="s">
        <v>5</v>
      </c>
      <c r="R38" s="2"/>
      <c r="S38" s="4"/>
      <c r="T38" s="187" t="s">
        <v>467</v>
      </c>
      <c r="U38" s="187" t="s">
        <v>468</v>
      </c>
    </row>
    <row r="39">
      <c r="A39" s="111" t="s">
        <v>14</v>
      </c>
      <c r="B39" s="2"/>
      <c r="C39" s="2"/>
      <c r="D39" s="115" t="s">
        <v>199</v>
      </c>
      <c r="E39" s="2"/>
      <c r="F39" s="4"/>
      <c r="G39" s="115" t="s">
        <v>199</v>
      </c>
      <c r="H39" s="2"/>
      <c r="I39" s="4"/>
      <c r="J39" s="116">
        <v>1.0</v>
      </c>
      <c r="K39" s="117">
        <v>475.0</v>
      </c>
      <c r="L39" s="2"/>
      <c r="M39" s="4"/>
      <c r="N39" s="117">
        <f>475*1.1</f>
        <v>522.5</v>
      </c>
      <c r="O39" s="2"/>
      <c r="P39" s="4"/>
      <c r="Q39" s="117">
        <v>600.0</v>
      </c>
      <c r="R39" s="2"/>
      <c r="S39" s="4"/>
      <c r="T39" s="187" t="s">
        <v>471</v>
      </c>
      <c r="U39" s="189"/>
    </row>
    <row r="40">
      <c r="A40" s="111" t="s">
        <v>14</v>
      </c>
      <c r="B40" s="2"/>
      <c r="C40" s="2"/>
      <c r="D40" s="112" t="s">
        <v>472</v>
      </c>
      <c r="E40" s="2"/>
      <c r="F40" s="4"/>
      <c r="G40" s="103" t="s">
        <v>473</v>
      </c>
      <c r="H40" s="2"/>
      <c r="I40" s="4"/>
      <c r="J40" s="195">
        <v>1.0</v>
      </c>
      <c r="K40" s="117">
        <v>14.95</v>
      </c>
      <c r="L40" s="2"/>
      <c r="M40" s="4"/>
      <c r="N40" s="117">
        <v>16.41</v>
      </c>
      <c r="O40" s="2"/>
      <c r="P40" s="4"/>
      <c r="Q40" s="117"/>
      <c r="R40" s="2"/>
      <c r="S40" s="4"/>
    </row>
    <row r="41">
      <c r="A41" s="111" t="s">
        <v>14</v>
      </c>
      <c r="B41" s="2"/>
      <c r="C41" s="2"/>
      <c r="D41" s="115" t="s">
        <v>474</v>
      </c>
      <c r="E41" s="2"/>
      <c r="F41" s="4"/>
      <c r="G41" s="119" t="s">
        <v>168</v>
      </c>
      <c r="H41" s="2"/>
      <c r="I41" s="4"/>
      <c r="J41" s="196">
        <v>1.0</v>
      </c>
      <c r="K41" s="117"/>
      <c r="L41" s="2"/>
      <c r="M41" s="4"/>
      <c r="N41" s="117"/>
      <c r="O41" s="2"/>
      <c r="P41" s="4"/>
      <c r="Q41" s="117"/>
      <c r="R41" s="2"/>
      <c r="S41" s="4"/>
    </row>
    <row r="42">
      <c r="A42" s="111" t="s">
        <v>343</v>
      </c>
      <c r="B42" s="2"/>
      <c r="C42" s="2"/>
      <c r="D42" s="115" t="s">
        <v>475</v>
      </c>
      <c r="E42" s="2"/>
      <c r="F42" s="4"/>
      <c r="G42" s="111" t="s">
        <v>475</v>
      </c>
      <c r="H42" s="2"/>
      <c r="I42" s="2"/>
      <c r="J42" s="197">
        <v>1.0</v>
      </c>
      <c r="K42" s="117"/>
      <c r="L42" s="2"/>
      <c r="M42" s="4"/>
      <c r="N42" s="117">
        <v>750.0</v>
      </c>
      <c r="O42" s="2"/>
      <c r="P42" s="4"/>
      <c r="Q42" s="117"/>
      <c r="R42" s="2"/>
      <c r="S42" s="4"/>
      <c r="T42" s="7"/>
    </row>
    <row r="43">
      <c r="A43" s="122"/>
      <c r="B43" s="67"/>
      <c r="C43" s="67"/>
      <c r="D43" s="93"/>
      <c r="E43" s="67"/>
      <c r="F43" s="67"/>
      <c r="G43" s="143"/>
      <c r="H43" s="67"/>
      <c r="I43" s="67"/>
      <c r="J43" s="198" t="s">
        <v>167</v>
      </c>
      <c r="K43" s="117"/>
      <c r="L43" s="2"/>
      <c r="M43" s="4"/>
      <c r="N43" s="117">
        <f>SUM(N13:P42)</f>
        <v>4068.38</v>
      </c>
      <c r="O43" s="2"/>
      <c r="P43" s="4"/>
      <c r="Q43" s="117">
        <f>SUM(Q39:S42)</f>
        <v>600</v>
      </c>
      <c r="R43" s="2"/>
      <c r="S43" s="4"/>
      <c r="T43" s="7"/>
    </row>
    <row r="44">
      <c r="A44" s="123" t="s">
        <v>210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7"/>
    </row>
    <row r="45">
      <c r="A45" s="124" t="s">
        <v>212</v>
      </c>
      <c r="B45" s="2"/>
      <c r="C45" s="2"/>
      <c r="D45" s="2"/>
      <c r="E45" s="2"/>
      <c r="F45" s="2"/>
      <c r="G45" s="199"/>
      <c r="H45" s="199"/>
      <c r="I45" s="199"/>
      <c r="J45" s="90">
        <v>10.0</v>
      </c>
      <c r="K45" s="125"/>
      <c r="L45" s="125"/>
      <c r="M45" s="125"/>
      <c r="N45" s="125"/>
      <c r="O45" s="125"/>
      <c r="P45" s="125"/>
      <c r="Q45" s="3" t="s">
        <v>0</v>
      </c>
      <c r="R45" s="2"/>
      <c r="S45" s="2"/>
      <c r="T45" s="7" t="s">
        <v>476</v>
      </c>
    </row>
    <row r="46">
      <c r="A46" s="124" t="s">
        <v>213</v>
      </c>
      <c r="B46" s="2"/>
      <c r="C46" s="2"/>
      <c r="D46" s="2"/>
      <c r="E46" s="2"/>
      <c r="F46" s="2"/>
      <c r="G46" s="200"/>
      <c r="H46" s="200"/>
      <c r="I46" s="200"/>
      <c r="J46" s="126">
        <v>5000.0</v>
      </c>
      <c r="K46" s="127"/>
      <c r="L46" s="127"/>
      <c r="M46" s="127"/>
      <c r="N46" s="127"/>
      <c r="O46" s="127"/>
      <c r="P46" s="127"/>
      <c r="Q46" s="127" t="s">
        <v>167</v>
      </c>
      <c r="R46" s="2"/>
      <c r="S46" s="128">
        <f>Q23</f>
        <v>1303</v>
      </c>
    </row>
    <row r="47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30"/>
      <c r="L47" s="130"/>
      <c r="M47" s="130"/>
      <c r="N47" s="130"/>
      <c r="O47" s="130"/>
      <c r="P47" s="130"/>
      <c r="Q47" s="3" t="s">
        <v>170</v>
      </c>
      <c r="R47" s="2"/>
      <c r="S47" s="2"/>
    </row>
    <row r="48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31"/>
      <c r="L48" s="131"/>
      <c r="M48" s="131"/>
      <c r="N48" s="131"/>
      <c r="O48" s="131"/>
      <c r="P48" s="131"/>
      <c r="Q48" s="127" t="s">
        <v>167</v>
      </c>
      <c r="R48" s="2"/>
      <c r="S48" s="128">
        <f>Q36</f>
        <v>1805</v>
      </c>
    </row>
    <row r="49">
      <c r="A49" s="129"/>
      <c r="B49" s="129"/>
      <c r="C49" s="129"/>
      <c r="D49" s="129"/>
      <c r="E49" s="129"/>
      <c r="F49" s="129"/>
      <c r="G49" s="129"/>
      <c r="H49" s="129">
        <f>60+240+28                </f>
        <v>328</v>
      </c>
      <c r="I49" s="129"/>
      <c r="J49" s="129"/>
      <c r="K49" s="130"/>
      <c r="L49" s="130"/>
      <c r="M49" s="130"/>
      <c r="N49" s="130"/>
      <c r="O49" s="130"/>
      <c r="P49" s="130"/>
      <c r="Q49" s="3" t="s">
        <v>195</v>
      </c>
      <c r="R49" s="2"/>
      <c r="S49" s="2"/>
    </row>
    <row r="50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31"/>
      <c r="L50" s="131"/>
      <c r="M50" s="131"/>
      <c r="N50" s="131"/>
      <c r="O50" s="131"/>
      <c r="P50" s="131"/>
      <c r="Q50" s="127" t="s">
        <v>167</v>
      </c>
      <c r="R50" s="2"/>
      <c r="S50" s="128">
        <f>Q43-S43</f>
        <v>600</v>
      </c>
    </row>
    <row r="5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30"/>
      <c r="L51" s="130"/>
      <c r="M51" s="130"/>
      <c r="N51" s="130"/>
      <c r="O51" s="130"/>
      <c r="P51" s="130"/>
      <c r="Q51" s="3" t="s">
        <v>221</v>
      </c>
      <c r="R51" s="2"/>
      <c r="S51" s="2"/>
    </row>
    <row r="52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31"/>
      <c r="L52" s="131"/>
      <c r="M52" s="131"/>
      <c r="N52" s="131"/>
      <c r="O52" s="131"/>
      <c r="P52" s="131"/>
      <c r="Q52" s="127" t="s">
        <v>167</v>
      </c>
      <c r="R52" s="2"/>
      <c r="S52" s="128">
        <f>sum(S46,S48,S50)</f>
        <v>3708</v>
      </c>
    </row>
    <row r="57">
      <c r="A57" s="7"/>
    </row>
    <row r="65">
      <c r="U65" s="134"/>
    </row>
  </sheetData>
  <mergeCells count="258">
    <mergeCell ref="A1:S1"/>
    <mergeCell ref="D2:F2"/>
    <mergeCell ref="G2:I2"/>
    <mergeCell ref="K2:M2"/>
    <mergeCell ref="N2:P2"/>
    <mergeCell ref="Q2:S2"/>
    <mergeCell ref="U2:Y2"/>
    <mergeCell ref="A2:C2"/>
    <mergeCell ref="D3:F3"/>
    <mergeCell ref="G3:I3"/>
    <mergeCell ref="K3:M3"/>
    <mergeCell ref="N3:P3"/>
    <mergeCell ref="Q3:S3"/>
    <mergeCell ref="V3:Y3"/>
    <mergeCell ref="A3:C3"/>
    <mergeCell ref="D4:F4"/>
    <mergeCell ref="G4:I4"/>
    <mergeCell ref="K4:M4"/>
    <mergeCell ref="N4:P4"/>
    <mergeCell ref="Q4:S4"/>
    <mergeCell ref="V4:Y4"/>
    <mergeCell ref="A4:C4"/>
    <mergeCell ref="D5:F5"/>
    <mergeCell ref="G5:I5"/>
    <mergeCell ref="K5:M5"/>
    <mergeCell ref="N5:P5"/>
    <mergeCell ref="Q5:S5"/>
    <mergeCell ref="V5:Y5"/>
    <mergeCell ref="A5:C5"/>
    <mergeCell ref="D6:F6"/>
    <mergeCell ref="G6:I6"/>
    <mergeCell ref="K6:M6"/>
    <mergeCell ref="N6:P6"/>
    <mergeCell ref="Q6:S6"/>
    <mergeCell ref="V6:Y6"/>
    <mergeCell ref="A6:C6"/>
    <mergeCell ref="D7:F7"/>
    <mergeCell ref="G7:I7"/>
    <mergeCell ref="K7:M7"/>
    <mergeCell ref="N7:P7"/>
    <mergeCell ref="Q7:S7"/>
    <mergeCell ref="V7:Y7"/>
    <mergeCell ref="A9:C9"/>
    <mergeCell ref="A10:C10"/>
    <mergeCell ref="A7:C7"/>
    <mergeCell ref="D8:F8"/>
    <mergeCell ref="G8:I8"/>
    <mergeCell ref="K8:M8"/>
    <mergeCell ref="N8:P8"/>
    <mergeCell ref="Q8:S8"/>
    <mergeCell ref="V8:Y8"/>
    <mergeCell ref="D10:F10"/>
    <mergeCell ref="G10:I10"/>
    <mergeCell ref="K10:M10"/>
    <mergeCell ref="N10:P10"/>
    <mergeCell ref="K11:M11"/>
    <mergeCell ref="N11:P11"/>
    <mergeCell ref="K14:M14"/>
    <mergeCell ref="N14:P14"/>
    <mergeCell ref="Q14:S14"/>
    <mergeCell ref="K15:M15"/>
    <mergeCell ref="N15:P15"/>
    <mergeCell ref="Q15:S15"/>
    <mergeCell ref="D16:F16"/>
    <mergeCell ref="G16:I16"/>
    <mergeCell ref="K16:M16"/>
    <mergeCell ref="N16:P16"/>
    <mergeCell ref="Q16:S16"/>
    <mergeCell ref="A8:C8"/>
    <mergeCell ref="A11:C11"/>
    <mergeCell ref="A12:C12"/>
    <mergeCell ref="A13:C13"/>
    <mergeCell ref="A14:C14"/>
    <mergeCell ref="A15:C15"/>
    <mergeCell ref="A16:C16"/>
    <mergeCell ref="A26:C26"/>
    <mergeCell ref="A27:C27"/>
    <mergeCell ref="D27:F27"/>
    <mergeCell ref="G27:I27"/>
    <mergeCell ref="K27:M27"/>
    <mergeCell ref="N27:P27"/>
    <mergeCell ref="Q27:S27"/>
    <mergeCell ref="K34:M34"/>
    <mergeCell ref="N34:P34"/>
    <mergeCell ref="K35:M35"/>
    <mergeCell ref="N35:P35"/>
    <mergeCell ref="Q35:S35"/>
    <mergeCell ref="Q36:S36"/>
    <mergeCell ref="A37:S37"/>
    <mergeCell ref="A36:C36"/>
    <mergeCell ref="A38:C38"/>
    <mergeCell ref="D38:F38"/>
    <mergeCell ref="G38:I38"/>
    <mergeCell ref="K38:M38"/>
    <mergeCell ref="N38:P38"/>
    <mergeCell ref="Q38:S38"/>
    <mergeCell ref="N41:P41"/>
    <mergeCell ref="Q41:S41"/>
    <mergeCell ref="D40:F40"/>
    <mergeCell ref="G40:I40"/>
    <mergeCell ref="Q40:S40"/>
    <mergeCell ref="A41:C41"/>
    <mergeCell ref="D41:F41"/>
    <mergeCell ref="G41:I41"/>
    <mergeCell ref="K41:M41"/>
    <mergeCell ref="K43:M43"/>
    <mergeCell ref="N43:P43"/>
    <mergeCell ref="A42:C42"/>
    <mergeCell ref="D42:F42"/>
    <mergeCell ref="G42:I42"/>
    <mergeCell ref="K42:M42"/>
    <mergeCell ref="N42:P42"/>
    <mergeCell ref="Q42:S42"/>
    <mergeCell ref="A43:C43"/>
    <mergeCell ref="Q43:S43"/>
    <mergeCell ref="K29:M29"/>
    <mergeCell ref="N29:P29"/>
    <mergeCell ref="K30:M30"/>
    <mergeCell ref="N30:P30"/>
    <mergeCell ref="Q30:S30"/>
    <mergeCell ref="K31:M31"/>
    <mergeCell ref="N31:P31"/>
    <mergeCell ref="Q31:S31"/>
    <mergeCell ref="A28:C28"/>
    <mergeCell ref="D28:F28"/>
    <mergeCell ref="G28:I28"/>
    <mergeCell ref="K28:M28"/>
    <mergeCell ref="N28:P28"/>
    <mergeCell ref="Q28:S28"/>
    <mergeCell ref="A29:C29"/>
    <mergeCell ref="Q29:S29"/>
    <mergeCell ref="A31:C31"/>
    <mergeCell ref="A32:C32"/>
    <mergeCell ref="D32:F32"/>
    <mergeCell ref="G32:I32"/>
    <mergeCell ref="K32:M32"/>
    <mergeCell ref="N32:P32"/>
    <mergeCell ref="Q32:S32"/>
    <mergeCell ref="D29:F29"/>
    <mergeCell ref="G29:I29"/>
    <mergeCell ref="A30:C30"/>
    <mergeCell ref="D30:F30"/>
    <mergeCell ref="G30:I30"/>
    <mergeCell ref="D31:F31"/>
    <mergeCell ref="G31:I31"/>
    <mergeCell ref="A33:C33"/>
    <mergeCell ref="D33:F33"/>
    <mergeCell ref="G33:I33"/>
    <mergeCell ref="K33:M33"/>
    <mergeCell ref="N33:P33"/>
    <mergeCell ref="Q33:S33"/>
    <mergeCell ref="A34:C34"/>
    <mergeCell ref="Q34:S34"/>
    <mergeCell ref="D34:F34"/>
    <mergeCell ref="G34:I34"/>
    <mergeCell ref="A35:C35"/>
    <mergeCell ref="D35:F35"/>
    <mergeCell ref="G35:I35"/>
    <mergeCell ref="D36:F36"/>
    <mergeCell ref="G36:I36"/>
    <mergeCell ref="Q47:S47"/>
    <mergeCell ref="Q48:R48"/>
    <mergeCell ref="Q49:S49"/>
    <mergeCell ref="Q50:R50"/>
    <mergeCell ref="Q51:S51"/>
    <mergeCell ref="Q52:R52"/>
    <mergeCell ref="A57:S62"/>
    <mergeCell ref="D43:F43"/>
    <mergeCell ref="G43:I43"/>
    <mergeCell ref="A44:S44"/>
    <mergeCell ref="A45:F45"/>
    <mergeCell ref="Q45:S45"/>
    <mergeCell ref="A46:F46"/>
    <mergeCell ref="Q46:R46"/>
    <mergeCell ref="G12:I12"/>
    <mergeCell ref="K12:M12"/>
    <mergeCell ref="N12:P12"/>
    <mergeCell ref="Q12:S12"/>
    <mergeCell ref="G13:I13"/>
    <mergeCell ref="K13:M13"/>
    <mergeCell ref="N13:P13"/>
    <mergeCell ref="Q13:S13"/>
    <mergeCell ref="G9:I9"/>
    <mergeCell ref="K9:M9"/>
    <mergeCell ref="N9:P9"/>
    <mergeCell ref="Q9:S9"/>
    <mergeCell ref="V9:Y13"/>
    <mergeCell ref="Q10:S10"/>
    <mergeCell ref="Q11:S11"/>
    <mergeCell ref="D11:F11"/>
    <mergeCell ref="G11:I11"/>
    <mergeCell ref="D9:F9"/>
    <mergeCell ref="D12:F12"/>
    <mergeCell ref="D13:F13"/>
    <mergeCell ref="D14:F14"/>
    <mergeCell ref="G14:I14"/>
    <mergeCell ref="D15:F15"/>
    <mergeCell ref="G15:I15"/>
    <mergeCell ref="D17:F17"/>
    <mergeCell ref="G17:I17"/>
    <mergeCell ref="K17:M17"/>
    <mergeCell ref="N17:P17"/>
    <mergeCell ref="Q17:S17"/>
    <mergeCell ref="A17:C17"/>
    <mergeCell ref="A18:C18"/>
    <mergeCell ref="D18:F18"/>
    <mergeCell ref="G18:I18"/>
    <mergeCell ref="K18:M18"/>
    <mergeCell ref="N18:P18"/>
    <mergeCell ref="Q18:S18"/>
    <mergeCell ref="D19:F19"/>
    <mergeCell ref="G19:I19"/>
    <mergeCell ref="K19:M19"/>
    <mergeCell ref="N19:P19"/>
    <mergeCell ref="Q19:S19"/>
    <mergeCell ref="A19:C19"/>
    <mergeCell ref="A20:C20"/>
    <mergeCell ref="D20:F20"/>
    <mergeCell ref="G20:I20"/>
    <mergeCell ref="K20:M20"/>
    <mergeCell ref="N20:P20"/>
    <mergeCell ref="Q20:S20"/>
    <mergeCell ref="D21:F21"/>
    <mergeCell ref="G21:I21"/>
    <mergeCell ref="K21:M21"/>
    <mergeCell ref="N21:P21"/>
    <mergeCell ref="Q21:S21"/>
    <mergeCell ref="A21:C21"/>
    <mergeCell ref="A22:C22"/>
    <mergeCell ref="D22:F22"/>
    <mergeCell ref="G22:I22"/>
    <mergeCell ref="K22:M22"/>
    <mergeCell ref="N22:P22"/>
    <mergeCell ref="Q22:S22"/>
    <mergeCell ref="A23:C23"/>
    <mergeCell ref="D23:F23"/>
    <mergeCell ref="G23:I23"/>
    <mergeCell ref="N23:P23"/>
    <mergeCell ref="Q23:S23"/>
    <mergeCell ref="A24:S24"/>
    <mergeCell ref="A25:C25"/>
    <mergeCell ref="Q25:S25"/>
    <mergeCell ref="D25:F25"/>
    <mergeCell ref="G25:I25"/>
    <mergeCell ref="D26:F26"/>
    <mergeCell ref="G26:I26"/>
    <mergeCell ref="K26:M26"/>
    <mergeCell ref="N26:P26"/>
    <mergeCell ref="Q26:S26"/>
    <mergeCell ref="K40:M40"/>
    <mergeCell ref="N40:P40"/>
    <mergeCell ref="A39:C39"/>
    <mergeCell ref="D39:F39"/>
    <mergeCell ref="G39:I39"/>
    <mergeCell ref="K39:M39"/>
    <mergeCell ref="N39:P39"/>
    <mergeCell ref="Q39:S39"/>
    <mergeCell ref="A40:C40"/>
  </mergeCells>
  <hyperlinks>
    <hyperlink r:id="rId4" ref="G9"/>
    <hyperlink r:id="rId5" ref="G12"/>
    <hyperlink r:id="rId6" ref="G13"/>
    <hyperlink r:id="rId7" ref="G14"/>
    <hyperlink r:id="rId8" ref="G15"/>
    <hyperlink r:id="rId9" ref="G16"/>
    <hyperlink r:id="rId10" ref="G18"/>
    <hyperlink r:id="rId11" ref="G19"/>
    <hyperlink r:id="rId12" ref="G20"/>
    <hyperlink r:id="rId13" ref="G21"/>
    <hyperlink r:id="rId14" ref="G22"/>
    <hyperlink r:id="rId15" ref="D28"/>
    <hyperlink r:id="rId16" ref="G28"/>
    <hyperlink r:id="rId17" ref="D30"/>
    <hyperlink r:id="rId18" ref="G30"/>
    <hyperlink r:id="rId19" ref="G32"/>
    <hyperlink r:id="rId20" ref="G33"/>
    <hyperlink r:id="rId21" ref="G34"/>
    <hyperlink r:id="rId22" ref="G40"/>
  </hyperlinks>
  <drawing r:id="rId23"/>
  <legacy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7" max="7" width="21.38"/>
    <col customWidth="1" min="9" max="9" width="21.38"/>
  </cols>
  <sheetData>
    <row r="1">
      <c r="A1" s="8" t="s">
        <v>4</v>
      </c>
      <c r="B1" s="8" t="s">
        <v>6</v>
      </c>
      <c r="C1" s="8" t="s">
        <v>7</v>
      </c>
      <c r="D1" s="10" t="s">
        <v>9</v>
      </c>
      <c r="E1" s="8"/>
      <c r="F1" s="8" t="s">
        <v>11</v>
      </c>
      <c r="G1" s="8" t="s">
        <v>12</v>
      </c>
      <c r="I1" s="12"/>
      <c r="J1" s="13"/>
    </row>
    <row r="2">
      <c r="A2" s="7" t="s">
        <v>16</v>
      </c>
      <c r="B2" s="7" t="s">
        <v>17</v>
      </c>
      <c r="C2" s="7"/>
      <c r="D2" s="16">
        <v>1.7115</v>
      </c>
      <c r="F2" s="7">
        <v>611.0</v>
      </c>
      <c r="G2" s="7">
        <v>420.29</v>
      </c>
      <c r="I2" s="18"/>
      <c r="J2" s="19"/>
    </row>
    <row r="3">
      <c r="A3" s="7" t="s">
        <v>19</v>
      </c>
      <c r="B3" s="7" t="s">
        <v>20</v>
      </c>
      <c r="C3" s="7"/>
      <c r="D3" s="21">
        <v>8.0E-4</v>
      </c>
      <c r="I3" s="18"/>
      <c r="J3" s="23"/>
    </row>
    <row r="4">
      <c r="A4" s="7" t="s">
        <v>21</v>
      </c>
      <c r="B4" s="7" t="s">
        <v>22</v>
      </c>
      <c r="C4" s="7"/>
      <c r="D4" s="25">
        <v>5.0E-4</v>
      </c>
      <c r="F4" s="26" t="s">
        <v>24</v>
      </c>
      <c r="G4" s="26" t="s">
        <v>25</v>
      </c>
      <c r="I4" s="18"/>
      <c r="J4" s="27"/>
    </row>
    <row r="5">
      <c r="A5" s="7" t="s">
        <v>26</v>
      </c>
      <c r="B5" s="7" t="s">
        <v>27</v>
      </c>
      <c r="C5" s="7"/>
      <c r="D5" s="28">
        <v>0.2156</v>
      </c>
      <c r="F5" s="7">
        <v>40.85</v>
      </c>
      <c r="G5" s="7">
        <v>37.98</v>
      </c>
      <c r="I5" s="18"/>
      <c r="J5" s="29"/>
    </row>
    <row r="6">
      <c r="A6" s="7" t="s">
        <v>29</v>
      </c>
      <c r="B6" s="7" t="s">
        <v>30</v>
      </c>
      <c r="C6" s="7">
        <v>2.0</v>
      </c>
      <c r="D6" s="16">
        <v>0.1697</v>
      </c>
      <c r="F6" s="26"/>
      <c r="I6" s="18"/>
      <c r="J6" s="19"/>
    </row>
    <row r="7">
      <c r="A7" s="7" t="s">
        <v>31</v>
      </c>
      <c r="B7" s="7" t="s">
        <v>32</v>
      </c>
      <c r="C7" s="7">
        <v>2.0</v>
      </c>
      <c r="D7" s="30">
        <v>0.0046</v>
      </c>
      <c r="F7" s="26" t="s">
        <v>33</v>
      </c>
      <c r="I7" s="18"/>
      <c r="J7" s="31"/>
    </row>
    <row r="8">
      <c r="A8" s="7" t="s">
        <v>34</v>
      </c>
      <c r="B8" s="7" t="s">
        <v>35</v>
      </c>
      <c r="C8" s="7">
        <v>6.0</v>
      </c>
      <c r="D8" s="33">
        <v>0.885</v>
      </c>
      <c r="F8" s="7">
        <v>222.92</v>
      </c>
      <c r="I8" s="18"/>
      <c r="J8" s="37"/>
    </row>
    <row r="9">
      <c r="A9" s="7">
        <v>330.0</v>
      </c>
      <c r="B9" s="7" t="s">
        <v>37</v>
      </c>
      <c r="C9" s="7">
        <v>2.0</v>
      </c>
      <c r="D9" s="39">
        <v>6.0E-4</v>
      </c>
      <c r="I9" s="41"/>
      <c r="J9" s="42"/>
    </row>
    <row r="10">
      <c r="A10" s="7" t="s">
        <v>39</v>
      </c>
      <c r="B10" s="7" t="s">
        <v>41</v>
      </c>
      <c r="C10" s="7">
        <v>2.0</v>
      </c>
      <c r="D10" s="44">
        <v>0.0291</v>
      </c>
      <c r="F10" s="26" t="s">
        <v>42</v>
      </c>
      <c r="I10" s="18"/>
      <c r="J10" s="45"/>
    </row>
    <row r="11">
      <c r="A11" s="7" t="s">
        <v>43</v>
      </c>
      <c r="B11" s="7" t="s">
        <v>45</v>
      </c>
      <c r="C11" s="7">
        <v>2.0</v>
      </c>
      <c r="D11" s="39">
        <v>5.0E-4</v>
      </c>
      <c r="F11" s="7">
        <v>707.04</v>
      </c>
      <c r="I11" s="18"/>
      <c r="J11" s="42"/>
    </row>
    <row r="12">
      <c r="A12" s="7" t="s">
        <v>46</v>
      </c>
      <c r="B12" s="7" t="s">
        <v>47</v>
      </c>
      <c r="C12" s="7"/>
      <c r="D12" s="33">
        <v>5.0E-4</v>
      </c>
      <c r="I12" s="18"/>
      <c r="J12" s="37"/>
    </row>
    <row r="13">
      <c r="A13" s="7" t="s">
        <v>48</v>
      </c>
      <c r="B13" s="7" t="s">
        <v>49</v>
      </c>
      <c r="C13" s="7">
        <v>2.0</v>
      </c>
      <c r="D13" s="25">
        <v>1.4655</v>
      </c>
      <c r="I13" s="18"/>
      <c r="J13" s="27"/>
    </row>
    <row r="14">
      <c r="A14" s="7" t="s">
        <v>51</v>
      </c>
      <c r="B14" s="7" t="s">
        <v>53</v>
      </c>
      <c r="C14" s="7">
        <v>22.0</v>
      </c>
      <c r="D14" s="48">
        <v>0.0615</v>
      </c>
      <c r="I14" s="18"/>
      <c r="J14" s="49"/>
    </row>
    <row r="15">
      <c r="A15" s="7" t="s">
        <v>55</v>
      </c>
      <c r="B15" s="7" t="s">
        <v>56</v>
      </c>
      <c r="C15" s="7">
        <v>2.0</v>
      </c>
      <c r="D15" s="50">
        <v>5.0E-4</v>
      </c>
      <c r="I15" s="18"/>
      <c r="J15" s="52"/>
    </row>
    <row r="16">
      <c r="A16" s="7" t="s">
        <v>62</v>
      </c>
      <c r="B16" s="7" t="s">
        <v>63</v>
      </c>
      <c r="C16" s="7">
        <v>2.0</v>
      </c>
      <c r="D16" s="33">
        <v>0.2753</v>
      </c>
      <c r="I16" s="18"/>
      <c r="J16" s="37"/>
    </row>
    <row r="17">
      <c r="A17" s="7" t="s">
        <v>66</v>
      </c>
      <c r="B17" s="7" t="s">
        <v>67</v>
      </c>
      <c r="C17" s="7">
        <v>6.0</v>
      </c>
      <c r="D17" s="21">
        <v>5.0E-4</v>
      </c>
      <c r="I17" s="18"/>
      <c r="J17" s="23"/>
    </row>
    <row r="18">
      <c r="A18" s="7" t="s">
        <v>70</v>
      </c>
      <c r="B18" s="7" t="s">
        <v>72</v>
      </c>
      <c r="C18" s="7">
        <v>2.0</v>
      </c>
      <c r="D18" s="16">
        <v>5.0E-4</v>
      </c>
      <c r="I18" s="18"/>
      <c r="J18" s="19"/>
    </row>
    <row r="19">
      <c r="A19" s="7" t="s">
        <v>73</v>
      </c>
      <c r="B19" s="7" t="s">
        <v>74</v>
      </c>
      <c r="C19" s="7">
        <v>2.0</v>
      </c>
      <c r="D19" s="33">
        <v>2.2305</v>
      </c>
      <c r="I19" s="18"/>
      <c r="J19" s="37"/>
    </row>
    <row r="20">
      <c r="A20" s="7" t="s">
        <v>77</v>
      </c>
      <c r="B20" s="7" t="s">
        <v>78</v>
      </c>
      <c r="C20" s="7">
        <v>92.0</v>
      </c>
      <c r="D20" s="21">
        <v>0.0025</v>
      </c>
      <c r="I20" s="18"/>
      <c r="J20" s="23"/>
    </row>
    <row r="21">
      <c r="A21" s="7" t="s">
        <v>79</v>
      </c>
      <c r="B21" s="7" t="s">
        <v>80</v>
      </c>
      <c r="C21" s="7">
        <v>26.0</v>
      </c>
      <c r="D21" s="33">
        <v>0.0278</v>
      </c>
      <c r="I21" s="18"/>
      <c r="J21" s="37"/>
    </row>
    <row r="22">
      <c r="A22" s="7" t="s">
        <v>81</v>
      </c>
      <c r="B22" s="7" t="s">
        <v>82</v>
      </c>
      <c r="C22" s="7">
        <v>2.0</v>
      </c>
      <c r="D22" s="62">
        <v>0.0136</v>
      </c>
      <c r="I22" s="18"/>
      <c r="J22" s="64"/>
    </row>
    <row r="23">
      <c r="A23" s="7" t="s">
        <v>84</v>
      </c>
      <c r="B23" s="7" t="s">
        <v>85</v>
      </c>
      <c r="C23" s="7">
        <v>4.0</v>
      </c>
      <c r="D23" s="21">
        <v>0.0025</v>
      </c>
      <c r="I23" s="18"/>
      <c r="J23" s="23"/>
    </row>
    <row r="24">
      <c r="A24" s="7" t="s">
        <v>86</v>
      </c>
      <c r="B24" s="7" t="s">
        <v>87</v>
      </c>
      <c r="C24" s="7">
        <v>24.0</v>
      </c>
      <c r="D24" s="16">
        <v>5.0E-4</v>
      </c>
      <c r="I24" s="18"/>
      <c r="J24" s="19"/>
    </row>
    <row r="25">
      <c r="A25" s="7" t="s">
        <v>88</v>
      </c>
      <c r="B25" s="7" t="s">
        <v>89</v>
      </c>
      <c r="C25" s="7">
        <v>2.0</v>
      </c>
      <c r="D25" s="21">
        <v>4.476</v>
      </c>
      <c r="I25" s="18"/>
      <c r="J25" s="23"/>
    </row>
    <row r="26">
      <c r="A26" s="7" t="s">
        <v>91</v>
      </c>
      <c r="B26" s="7" t="s">
        <v>92</v>
      </c>
      <c r="C26" s="7">
        <v>2.0</v>
      </c>
      <c r="D26" s="33">
        <v>19.026</v>
      </c>
      <c r="I26" s="18"/>
      <c r="J26" s="37"/>
    </row>
    <row r="27">
      <c r="A27" s="7" t="s">
        <v>93</v>
      </c>
      <c r="B27" s="7" t="s">
        <v>94</v>
      </c>
      <c r="C27" s="7">
        <v>2.0</v>
      </c>
      <c r="D27" s="25">
        <v>1.14</v>
      </c>
      <c r="I27" s="18"/>
      <c r="J27" s="27"/>
    </row>
    <row r="28">
      <c r="A28" s="7" t="s">
        <v>95</v>
      </c>
      <c r="B28" s="7" t="s">
        <v>96</v>
      </c>
      <c r="C28" s="7">
        <v>6.0</v>
      </c>
      <c r="D28" s="16">
        <v>6.0E-4</v>
      </c>
      <c r="I28" s="18"/>
      <c r="J28" s="19"/>
    </row>
    <row r="29">
      <c r="A29" s="7" t="s">
        <v>97</v>
      </c>
      <c r="B29" s="7" t="s">
        <v>98</v>
      </c>
      <c r="C29" s="7">
        <v>2.0</v>
      </c>
      <c r="D29" s="33">
        <v>0.0846</v>
      </c>
      <c r="I29" s="18"/>
      <c r="J29" s="37"/>
    </row>
    <row r="30">
      <c r="A30" s="7">
        <v>220.0</v>
      </c>
      <c r="B30" s="7" t="s">
        <v>100</v>
      </c>
      <c r="C30" s="7">
        <v>66.0</v>
      </c>
      <c r="D30" s="33">
        <v>5.0E-4</v>
      </c>
      <c r="I30" s="41"/>
      <c r="J30" s="37"/>
    </row>
    <row r="31">
      <c r="A31" s="7" t="s">
        <v>101</v>
      </c>
      <c r="B31" s="7" t="s">
        <v>102</v>
      </c>
      <c r="C31" s="7">
        <v>4.0</v>
      </c>
      <c r="D31" s="68">
        <v>4.419</v>
      </c>
      <c r="I31" s="18"/>
      <c r="J31" s="69"/>
    </row>
    <row r="32">
      <c r="A32" s="7" t="s">
        <v>103</v>
      </c>
      <c r="B32" s="7" t="s">
        <v>104</v>
      </c>
      <c r="C32" s="7">
        <v>2.0</v>
      </c>
      <c r="D32" s="21">
        <v>5.0E-4</v>
      </c>
      <c r="I32" s="18"/>
      <c r="J32" s="23"/>
    </row>
    <row r="33">
      <c r="A33" s="7" t="s">
        <v>105</v>
      </c>
      <c r="B33" s="7" t="s">
        <v>106</v>
      </c>
      <c r="C33" s="7">
        <v>2.0</v>
      </c>
      <c r="D33" s="62">
        <v>6.0E-4</v>
      </c>
      <c r="I33" s="18"/>
      <c r="J33" s="64"/>
    </row>
    <row r="34">
      <c r="A34" s="7" t="s">
        <v>107</v>
      </c>
      <c r="B34" s="7" t="s">
        <v>108</v>
      </c>
      <c r="C34" s="7">
        <v>2.0</v>
      </c>
      <c r="D34" s="16">
        <v>0.032</v>
      </c>
      <c r="I34" s="18"/>
      <c r="J34" s="19"/>
    </row>
    <row r="35">
      <c r="A35" s="7" t="s">
        <v>109</v>
      </c>
      <c r="B35" s="7" t="s">
        <v>110</v>
      </c>
      <c r="C35" s="7">
        <v>2.0</v>
      </c>
      <c r="D35" s="50">
        <v>2.166</v>
      </c>
      <c r="I35" s="18"/>
      <c r="J35" s="52"/>
    </row>
    <row r="36">
      <c r="A36" s="7" t="s">
        <v>111</v>
      </c>
      <c r="B36" s="7" t="s">
        <v>112</v>
      </c>
      <c r="C36" s="7">
        <v>6.0</v>
      </c>
      <c r="D36" s="33">
        <v>0.0237</v>
      </c>
      <c r="I36" s="18"/>
      <c r="J36" s="37"/>
    </row>
    <row r="37">
      <c r="A37" s="7">
        <v>470.0</v>
      </c>
      <c r="B37" s="7" t="s">
        <v>113</v>
      </c>
      <c r="C37" s="7">
        <v>2.0</v>
      </c>
      <c r="D37" s="21">
        <v>5.0E-4</v>
      </c>
      <c r="I37" s="41"/>
      <c r="J37" s="23"/>
    </row>
    <row r="38">
      <c r="A38" s="7" t="s">
        <v>115</v>
      </c>
      <c r="B38" s="7" t="s">
        <v>116</v>
      </c>
      <c r="C38" s="7">
        <v>2.0</v>
      </c>
      <c r="D38" s="16">
        <v>5.0E-4</v>
      </c>
      <c r="I38" s="18"/>
      <c r="J38" s="19"/>
    </row>
    <row r="39">
      <c r="A39" s="7" t="s">
        <v>117</v>
      </c>
      <c r="B39" s="7" t="s">
        <v>118</v>
      </c>
      <c r="C39" s="7">
        <v>68.0</v>
      </c>
      <c r="D39" s="33">
        <v>0.0059</v>
      </c>
      <c r="I39" s="18"/>
      <c r="J39" s="37"/>
    </row>
    <row r="40">
      <c r="A40" s="7" t="s">
        <v>119</v>
      </c>
      <c r="B40" s="7" t="s">
        <v>120</v>
      </c>
      <c r="C40" s="7">
        <v>6.0</v>
      </c>
      <c r="D40" s="72">
        <v>5.0E-4</v>
      </c>
      <c r="I40" s="18"/>
      <c r="J40" s="73"/>
    </row>
    <row r="41">
      <c r="A41" s="7" t="s">
        <v>122</v>
      </c>
      <c r="B41" s="7" t="s">
        <v>123</v>
      </c>
      <c r="C41" s="7">
        <v>2.0</v>
      </c>
      <c r="D41" s="33">
        <v>7.353</v>
      </c>
      <c r="I41" s="18"/>
      <c r="J41" s="37"/>
    </row>
    <row r="42">
      <c r="A42" s="7" t="s">
        <v>124</v>
      </c>
      <c r="B42" s="7" t="s">
        <v>125</v>
      </c>
      <c r="C42" s="7">
        <v>2.0</v>
      </c>
      <c r="D42" s="16">
        <v>5.0E-4</v>
      </c>
      <c r="I42" s="18"/>
      <c r="J42" s="19"/>
    </row>
    <row r="43">
      <c r="A43" s="7" t="s">
        <v>126</v>
      </c>
      <c r="B43" s="7" t="s">
        <v>127</v>
      </c>
      <c r="C43" s="7">
        <v>2.0</v>
      </c>
      <c r="D43" s="68">
        <v>0.0035</v>
      </c>
      <c r="I43" s="18"/>
      <c r="J43" s="69"/>
    </row>
    <row r="44">
      <c r="A44" s="7" t="s">
        <v>128</v>
      </c>
      <c r="B44" s="7" t="s">
        <v>129</v>
      </c>
      <c r="C44" s="7">
        <v>4.0</v>
      </c>
      <c r="D44" s="62">
        <v>5.0E-4</v>
      </c>
      <c r="I44" s="18"/>
      <c r="J44" s="64"/>
    </row>
    <row r="45">
      <c r="A45" s="7" t="s">
        <v>130</v>
      </c>
      <c r="B45" s="7" t="s">
        <v>131</v>
      </c>
      <c r="C45" s="7">
        <v>2.0</v>
      </c>
      <c r="D45" s="33">
        <v>2.5815</v>
      </c>
      <c r="I45" s="18"/>
      <c r="J45" s="37"/>
    </row>
    <row r="46">
      <c r="A46" s="7" t="s">
        <v>132</v>
      </c>
      <c r="B46" s="7" t="s">
        <v>133</v>
      </c>
      <c r="C46" s="7">
        <v>54.0</v>
      </c>
      <c r="D46" s="48">
        <v>0.0011</v>
      </c>
      <c r="I46" s="18"/>
      <c r="J46" s="49"/>
    </row>
    <row r="47">
      <c r="A47" s="7" t="s">
        <v>134</v>
      </c>
      <c r="B47" s="7" t="s">
        <v>135</v>
      </c>
      <c r="C47" s="7">
        <v>2.0</v>
      </c>
      <c r="D47" s="48">
        <v>1.6575</v>
      </c>
      <c r="I47" s="18"/>
      <c r="J47" s="49"/>
    </row>
    <row r="48">
      <c r="A48" s="7" t="s">
        <v>137</v>
      </c>
      <c r="B48" s="7" t="s">
        <v>138</v>
      </c>
      <c r="C48" s="7">
        <v>34.0</v>
      </c>
      <c r="D48" s="39">
        <v>0.0011</v>
      </c>
      <c r="I48" s="18"/>
      <c r="J48" s="42"/>
    </row>
    <row r="49">
      <c r="A49" s="7" t="s">
        <v>139</v>
      </c>
      <c r="B49" s="7" t="s">
        <v>140</v>
      </c>
      <c r="C49" s="7">
        <v>2.0</v>
      </c>
      <c r="D49" s="44">
        <v>0.0809</v>
      </c>
      <c r="I49" s="18"/>
      <c r="J49" s="45"/>
    </row>
    <row r="50">
      <c r="A50" s="7" t="s">
        <v>141</v>
      </c>
      <c r="B50" s="7" t="s">
        <v>142</v>
      </c>
      <c r="C50" s="7">
        <v>14.0</v>
      </c>
      <c r="D50" s="21">
        <v>0.0126</v>
      </c>
      <c r="I50" s="18"/>
      <c r="J50" s="23"/>
    </row>
    <row r="51">
      <c r="A51" s="7" t="s">
        <v>143</v>
      </c>
      <c r="B51" s="7" t="s">
        <v>144</v>
      </c>
      <c r="C51" s="7">
        <v>2.0</v>
      </c>
      <c r="D51" s="33">
        <v>5.736</v>
      </c>
      <c r="I51" s="18"/>
      <c r="J51" s="37"/>
    </row>
    <row r="52">
      <c r="A52" s="7" t="s">
        <v>145</v>
      </c>
      <c r="B52" s="7" t="s">
        <v>146</v>
      </c>
      <c r="C52" s="7">
        <v>4.0</v>
      </c>
      <c r="D52" s="77">
        <v>0.0059</v>
      </c>
      <c r="I52" s="18"/>
      <c r="J52" s="79"/>
    </row>
    <row r="53">
      <c r="A53" s="7" t="s">
        <v>148</v>
      </c>
      <c r="B53" s="7" t="s">
        <v>149</v>
      </c>
      <c r="C53" s="7">
        <v>6.0</v>
      </c>
      <c r="D53" s="16">
        <v>8.0E-4</v>
      </c>
      <c r="I53" s="18"/>
      <c r="J53" s="19"/>
    </row>
    <row r="54">
      <c r="A54" s="7" t="s">
        <v>151</v>
      </c>
      <c r="B54" s="7" t="s">
        <v>152</v>
      </c>
      <c r="C54" s="7">
        <v>2.0</v>
      </c>
      <c r="D54" s="25">
        <v>5.0E-4</v>
      </c>
      <c r="I54" s="18"/>
      <c r="J54" s="27"/>
    </row>
    <row r="55">
      <c r="A55" s="7" t="s">
        <v>153</v>
      </c>
      <c r="B55" s="7" t="s">
        <v>154</v>
      </c>
      <c r="C55" s="7">
        <v>2.0</v>
      </c>
      <c r="D55" s="25">
        <v>0.0645</v>
      </c>
      <c r="I55" s="18"/>
      <c r="J55" s="27"/>
    </row>
    <row r="56">
      <c r="A56" s="7" t="s">
        <v>156</v>
      </c>
      <c r="C56" s="7">
        <v>2.0</v>
      </c>
      <c r="D56" s="10">
        <v>74.08</v>
      </c>
      <c r="I56" s="18"/>
      <c r="J56" s="81"/>
    </row>
    <row r="57">
      <c r="A57" s="7" t="s">
        <v>157</v>
      </c>
      <c r="C57" s="7">
        <v>5.0</v>
      </c>
      <c r="D57" s="10">
        <v>346.21</v>
      </c>
      <c r="I57" s="18"/>
      <c r="J57" s="81"/>
    </row>
    <row r="58">
      <c r="D58" s="82"/>
      <c r="I58" s="18"/>
      <c r="J58" s="13"/>
    </row>
    <row r="59">
      <c r="D59" s="82"/>
      <c r="I59" s="18"/>
      <c r="J59" s="13"/>
    </row>
    <row r="60">
      <c r="D60" s="82"/>
      <c r="I60" s="18"/>
      <c r="J60" s="13"/>
    </row>
    <row r="61">
      <c r="D61" s="82"/>
      <c r="I61" s="18"/>
      <c r="J61" s="13"/>
    </row>
    <row r="62">
      <c r="D62" s="82"/>
      <c r="I62" s="18"/>
      <c r="J62" s="13"/>
    </row>
    <row r="63">
      <c r="D63" s="82"/>
      <c r="I63" s="18"/>
      <c r="J63" s="13"/>
    </row>
    <row r="64">
      <c r="D64" s="82"/>
      <c r="I64" s="18"/>
      <c r="J64" s="13"/>
    </row>
    <row r="65">
      <c r="D65" s="82"/>
      <c r="I65" s="18"/>
      <c r="J65" s="13"/>
    </row>
    <row r="66">
      <c r="D66" s="82"/>
      <c r="I66" s="18"/>
      <c r="J66" s="13"/>
    </row>
    <row r="67">
      <c r="D67" s="82"/>
      <c r="I67" s="18"/>
      <c r="J67" s="13"/>
    </row>
    <row r="68">
      <c r="D68" s="82"/>
      <c r="I68" s="18"/>
      <c r="J68" s="13"/>
    </row>
    <row r="69">
      <c r="D69" s="82"/>
      <c r="I69" s="18"/>
      <c r="J69" s="13"/>
    </row>
    <row r="70">
      <c r="D70" s="82"/>
      <c r="I70" s="18"/>
      <c r="J70" s="13"/>
    </row>
    <row r="71">
      <c r="D71" s="82"/>
      <c r="I71" s="18"/>
      <c r="J71" s="13"/>
    </row>
    <row r="72">
      <c r="D72" s="82"/>
      <c r="I72" s="18"/>
      <c r="J72" s="13"/>
    </row>
    <row r="73">
      <c r="D73" s="82"/>
      <c r="I73" s="18"/>
      <c r="J73" s="13"/>
    </row>
    <row r="74">
      <c r="D74" s="82"/>
      <c r="I74" s="18"/>
      <c r="J74" s="13"/>
    </row>
    <row r="75">
      <c r="D75" s="82"/>
      <c r="I75" s="18"/>
      <c r="J75" s="13"/>
    </row>
    <row r="76">
      <c r="D76" s="82"/>
      <c r="I76" s="18"/>
      <c r="J76" s="13"/>
    </row>
    <row r="77">
      <c r="D77" s="82"/>
      <c r="I77" s="18"/>
      <c r="J77" s="13"/>
    </row>
    <row r="78">
      <c r="D78" s="82"/>
      <c r="I78" s="18"/>
      <c r="J78" s="13"/>
    </row>
    <row r="79">
      <c r="D79" s="82"/>
      <c r="I79" s="18"/>
      <c r="J79" s="13"/>
    </row>
    <row r="80">
      <c r="D80" s="82"/>
      <c r="I80" s="18"/>
      <c r="J80" s="13"/>
    </row>
    <row r="81">
      <c r="D81" s="82"/>
      <c r="I81" s="18"/>
      <c r="J81" s="13"/>
    </row>
    <row r="82">
      <c r="D82" s="82"/>
      <c r="I82" s="18"/>
      <c r="J82" s="13"/>
    </row>
    <row r="83">
      <c r="D83" s="82"/>
      <c r="I83" s="18"/>
      <c r="J83" s="13"/>
    </row>
    <row r="84">
      <c r="D84" s="82"/>
      <c r="I84" s="18"/>
      <c r="J84" s="13"/>
    </row>
    <row r="85">
      <c r="D85" s="82"/>
      <c r="I85" s="18"/>
      <c r="J85" s="13"/>
    </row>
    <row r="86">
      <c r="D86" s="82"/>
      <c r="I86" s="18"/>
      <c r="J86" s="13"/>
    </row>
    <row r="87">
      <c r="D87" s="82"/>
      <c r="I87" s="18"/>
      <c r="J87" s="13"/>
    </row>
    <row r="88">
      <c r="D88" s="82"/>
      <c r="I88" s="18"/>
      <c r="J88" s="13"/>
    </row>
    <row r="89">
      <c r="D89" s="82"/>
      <c r="I89" s="18"/>
      <c r="J89" s="13"/>
    </row>
    <row r="90">
      <c r="D90" s="82"/>
      <c r="I90" s="18"/>
      <c r="J90" s="13"/>
    </row>
    <row r="91">
      <c r="D91" s="82"/>
      <c r="I91" s="18"/>
      <c r="J91" s="13"/>
    </row>
    <row r="92">
      <c r="D92" s="82"/>
      <c r="I92" s="18"/>
      <c r="J92" s="13"/>
    </row>
    <row r="93">
      <c r="D93" s="82"/>
      <c r="I93" s="18"/>
      <c r="J93" s="13"/>
    </row>
    <row r="94">
      <c r="D94" s="82"/>
      <c r="I94" s="18"/>
      <c r="J94" s="13"/>
    </row>
    <row r="95">
      <c r="D95" s="82"/>
      <c r="I95" s="18"/>
      <c r="J95" s="13"/>
    </row>
    <row r="96">
      <c r="D96" s="82"/>
      <c r="I96" s="18"/>
      <c r="J96" s="13"/>
    </row>
    <row r="97">
      <c r="D97" s="82"/>
      <c r="I97" s="18"/>
      <c r="J97" s="13"/>
    </row>
    <row r="98">
      <c r="D98" s="82"/>
      <c r="I98" s="18"/>
      <c r="J98" s="13"/>
    </row>
    <row r="99">
      <c r="D99" s="82"/>
      <c r="I99" s="18"/>
      <c r="J99" s="13"/>
    </row>
    <row r="100">
      <c r="D100" s="82"/>
      <c r="I100" s="18"/>
      <c r="J100" s="13"/>
    </row>
    <row r="101">
      <c r="D101" s="82"/>
      <c r="I101" s="18"/>
      <c r="J101" s="13"/>
    </row>
    <row r="102">
      <c r="D102" s="82"/>
      <c r="I102" s="18"/>
      <c r="J102" s="13"/>
    </row>
    <row r="103">
      <c r="D103" s="82"/>
      <c r="I103" s="18"/>
      <c r="J103" s="13"/>
    </row>
    <row r="104">
      <c r="D104" s="82"/>
      <c r="I104" s="18"/>
      <c r="J104" s="13"/>
    </row>
    <row r="105">
      <c r="D105" s="82"/>
      <c r="I105" s="18"/>
      <c r="J105" s="13"/>
    </row>
    <row r="106">
      <c r="D106" s="82"/>
      <c r="I106" s="18"/>
      <c r="J106" s="13"/>
    </row>
    <row r="107">
      <c r="D107" s="82"/>
      <c r="I107" s="18"/>
      <c r="J107" s="13"/>
    </row>
    <row r="108">
      <c r="D108" s="82"/>
      <c r="I108" s="18"/>
      <c r="J108" s="13"/>
    </row>
    <row r="109">
      <c r="D109" s="82"/>
      <c r="I109" s="18"/>
      <c r="J109" s="13"/>
    </row>
    <row r="110">
      <c r="D110" s="82"/>
      <c r="I110" s="18"/>
      <c r="J110" s="13"/>
    </row>
    <row r="111">
      <c r="D111" s="82"/>
      <c r="I111" s="18"/>
      <c r="J111" s="13"/>
    </row>
    <row r="112">
      <c r="D112" s="82"/>
      <c r="I112" s="18"/>
      <c r="J112" s="13"/>
    </row>
    <row r="113">
      <c r="D113" s="82"/>
      <c r="I113" s="18"/>
      <c r="J113" s="13"/>
    </row>
    <row r="114">
      <c r="D114" s="82"/>
      <c r="I114" s="18"/>
      <c r="J114" s="13"/>
    </row>
    <row r="115">
      <c r="D115" s="82"/>
      <c r="I115" s="18"/>
      <c r="J115" s="13"/>
    </row>
    <row r="116">
      <c r="D116" s="82"/>
      <c r="I116" s="18"/>
      <c r="J116" s="13"/>
    </row>
    <row r="117">
      <c r="D117" s="82"/>
      <c r="I117" s="18"/>
      <c r="J117" s="13"/>
    </row>
    <row r="118">
      <c r="D118" s="82"/>
      <c r="I118" s="18"/>
      <c r="J118" s="13"/>
    </row>
    <row r="119">
      <c r="D119" s="82"/>
      <c r="I119" s="18"/>
      <c r="J119" s="13"/>
    </row>
    <row r="120">
      <c r="D120" s="82"/>
      <c r="I120" s="18"/>
      <c r="J120" s="13"/>
    </row>
    <row r="121">
      <c r="D121" s="82"/>
      <c r="I121" s="18"/>
      <c r="J121" s="13"/>
    </row>
    <row r="122">
      <c r="D122" s="82"/>
      <c r="I122" s="18"/>
      <c r="J122" s="13"/>
    </row>
    <row r="123">
      <c r="D123" s="82"/>
      <c r="I123" s="18"/>
      <c r="J123" s="13"/>
    </row>
    <row r="124">
      <c r="D124" s="82"/>
      <c r="I124" s="18"/>
      <c r="J124" s="13"/>
    </row>
    <row r="125">
      <c r="D125" s="82"/>
      <c r="I125" s="18"/>
      <c r="J125" s="13"/>
    </row>
    <row r="126">
      <c r="D126" s="82"/>
      <c r="I126" s="18"/>
      <c r="J126" s="13"/>
    </row>
    <row r="127">
      <c r="D127" s="82"/>
      <c r="I127" s="18"/>
      <c r="J127" s="13"/>
    </row>
    <row r="128">
      <c r="D128" s="82"/>
      <c r="I128" s="18"/>
      <c r="J128" s="13"/>
    </row>
    <row r="129">
      <c r="D129" s="82"/>
      <c r="I129" s="18"/>
      <c r="J129" s="13"/>
    </row>
    <row r="130">
      <c r="D130" s="82"/>
      <c r="I130" s="18"/>
      <c r="J130" s="13"/>
    </row>
    <row r="131">
      <c r="D131" s="82"/>
      <c r="I131" s="18"/>
      <c r="J131" s="13"/>
    </row>
    <row r="132">
      <c r="D132" s="82"/>
      <c r="I132" s="18"/>
      <c r="J132" s="13"/>
    </row>
    <row r="133">
      <c r="D133" s="82"/>
      <c r="I133" s="18"/>
      <c r="J133" s="13"/>
    </row>
    <row r="134">
      <c r="D134" s="82"/>
      <c r="I134" s="18"/>
      <c r="J134" s="13"/>
    </row>
    <row r="135">
      <c r="D135" s="82"/>
      <c r="I135" s="18"/>
      <c r="J135" s="13"/>
    </row>
    <row r="136">
      <c r="D136" s="82"/>
      <c r="I136" s="18"/>
      <c r="J136" s="13"/>
    </row>
    <row r="137">
      <c r="D137" s="82"/>
      <c r="I137" s="18"/>
      <c r="J137" s="13"/>
    </row>
    <row r="138">
      <c r="D138" s="82"/>
      <c r="I138" s="18"/>
      <c r="J138" s="13"/>
    </row>
    <row r="139">
      <c r="D139" s="82"/>
      <c r="I139" s="18"/>
      <c r="J139" s="13"/>
    </row>
    <row r="140">
      <c r="D140" s="82"/>
      <c r="I140" s="18"/>
      <c r="J140" s="13"/>
    </row>
    <row r="141">
      <c r="D141" s="82"/>
      <c r="I141" s="18"/>
      <c r="J141" s="13"/>
    </row>
    <row r="142">
      <c r="D142" s="82"/>
      <c r="I142" s="18"/>
      <c r="J142" s="13"/>
    </row>
    <row r="143">
      <c r="D143" s="82"/>
      <c r="I143" s="18"/>
      <c r="J143" s="13"/>
    </row>
    <row r="144">
      <c r="D144" s="82"/>
      <c r="I144" s="18"/>
      <c r="J144" s="13"/>
    </row>
    <row r="145">
      <c r="D145" s="82"/>
      <c r="I145" s="18"/>
      <c r="J145" s="13"/>
    </row>
    <row r="146">
      <c r="D146" s="82"/>
      <c r="I146" s="18"/>
      <c r="J146" s="13"/>
    </row>
    <row r="147">
      <c r="D147" s="82"/>
      <c r="I147" s="18"/>
      <c r="J147" s="13"/>
    </row>
    <row r="148">
      <c r="D148" s="82"/>
      <c r="I148" s="18"/>
      <c r="J148" s="13"/>
    </row>
    <row r="149">
      <c r="D149" s="82"/>
      <c r="I149" s="18"/>
      <c r="J149" s="13"/>
    </row>
    <row r="150">
      <c r="D150" s="82"/>
      <c r="I150" s="18"/>
      <c r="J150" s="13"/>
    </row>
    <row r="151">
      <c r="D151" s="82"/>
      <c r="I151" s="18"/>
      <c r="J151" s="13"/>
    </row>
    <row r="152">
      <c r="D152" s="82"/>
      <c r="I152" s="18"/>
      <c r="J152" s="13"/>
    </row>
    <row r="153">
      <c r="D153" s="82"/>
      <c r="I153" s="18"/>
      <c r="J153" s="13"/>
    </row>
    <row r="154">
      <c r="D154" s="82"/>
      <c r="I154" s="18"/>
      <c r="J154" s="13"/>
    </row>
    <row r="155">
      <c r="D155" s="82"/>
      <c r="I155" s="18"/>
      <c r="J155" s="13"/>
    </row>
    <row r="156">
      <c r="D156" s="82"/>
      <c r="I156" s="18"/>
      <c r="J156" s="13"/>
    </row>
    <row r="157">
      <c r="D157" s="82"/>
      <c r="I157" s="18"/>
      <c r="J157" s="13"/>
    </row>
    <row r="158">
      <c r="D158" s="82"/>
      <c r="I158" s="18"/>
      <c r="J158" s="13"/>
    </row>
    <row r="159">
      <c r="D159" s="82"/>
      <c r="I159" s="18"/>
      <c r="J159" s="13"/>
    </row>
    <row r="160">
      <c r="D160" s="82"/>
      <c r="I160" s="18"/>
      <c r="J160" s="13"/>
    </row>
    <row r="161">
      <c r="D161" s="82"/>
      <c r="I161" s="18"/>
      <c r="J161" s="13"/>
    </row>
    <row r="162">
      <c r="D162" s="82"/>
      <c r="I162" s="18"/>
      <c r="J162" s="13"/>
    </row>
    <row r="163">
      <c r="D163" s="82"/>
      <c r="I163" s="18"/>
      <c r="J163" s="13"/>
    </row>
    <row r="164">
      <c r="D164" s="82"/>
      <c r="I164" s="18"/>
      <c r="J164" s="13"/>
    </row>
    <row r="165">
      <c r="D165" s="82"/>
      <c r="I165" s="18"/>
      <c r="J165" s="13"/>
    </row>
    <row r="166">
      <c r="D166" s="82"/>
      <c r="I166" s="18"/>
      <c r="J166" s="13"/>
    </row>
    <row r="167">
      <c r="D167" s="82"/>
      <c r="I167" s="18"/>
      <c r="J167" s="13"/>
    </row>
    <row r="168">
      <c r="D168" s="82"/>
      <c r="I168" s="18"/>
      <c r="J168" s="13"/>
    </row>
    <row r="169">
      <c r="D169" s="82"/>
      <c r="I169" s="18"/>
      <c r="J169" s="13"/>
    </row>
    <row r="170">
      <c r="D170" s="82"/>
      <c r="I170" s="18"/>
      <c r="J170" s="13"/>
    </row>
    <row r="171">
      <c r="D171" s="82"/>
      <c r="I171" s="18"/>
      <c r="J171" s="13"/>
    </row>
    <row r="172">
      <c r="D172" s="82"/>
      <c r="I172" s="18"/>
      <c r="J172" s="13"/>
    </row>
    <row r="173">
      <c r="D173" s="82"/>
      <c r="I173" s="18"/>
      <c r="J173" s="13"/>
    </row>
    <row r="174">
      <c r="D174" s="82"/>
      <c r="I174" s="18"/>
      <c r="J174" s="13"/>
    </row>
    <row r="175">
      <c r="D175" s="82"/>
      <c r="I175" s="18"/>
      <c r="J175" s="13"/>
    </row>
    <row r="176">
      <c r="D176" s="82"/>
      <c r="I176" s="18"/>
      <c r="J176" s="13"/>
    </row>
    <row r="177">
      <c r="D177" s="82"/>
      <c r="I177" s="18"/>
      <c r="J177" s="13"/>
    </row>
    <row r="178">
      <c r="D178" s="82"/>
      <c r="I178" s="18"/>
      <c r="J178" s="13"/>
    </row>
    <row r="179">
      <c r="D179" s="82"/>
      <c r="I179" s="18"/>
      <c r="J179" s="13"/>
    </row>
    <row r="180">
      <c r="D180" s="82"/>
      <c r="I180" s="18"/>
      <c r="J180" s="13"/>
    </row>
    <row r="181">
      <c r="D181" s="82"/>
      <c r="I181" s="18"/>
      <c r="J181" s="13"/>
    </row>
    <row r="182">
      <c r="D182" s="82"/>
      <c r="I182" s="18"/>
      <c r="J182" s="13"/>
    </row>
    <row r="183">
      <c r="D183" s="82"/>
      <c r="I183" s="18"/>
      <c r="J183" s="13"/>
    </row>
    <row r="184">
      <c r="D184" s="82"/>
      <c r="I184" s="18"/>
      <c r="J184" s="13"/>
    </row>
    <row r="185">
      <c r="D185" s="82"/>
      <c r="I185" s="18"/>
      <c r="J185" s="13"/>
    </row>
    <row r="186">
      <c r="D186" s="82"/>
      <c r="I186" s="18"/>
      <c r="J186" s="13"/>
    </row>
    <row r="187">
      <c r="D187" s="82"/>
      <c r="I187" s="18"/>
      <c r="J187" s="13"/>
    </row>
    <row r="188">
      <c r="D188" s="82"/>
      <c r="I188" s="18"/>
      <c r="J188" s="13"/>
    </row>
    <row r="189">
      <c r="D189" s="82"/>
      <c r="I189" s="18"/>
      <c r="J189" s="13"/>
    </row>
    <row r="190">
      <c r="D190" s="82"/>
      <c r="I190" s="18"/>
      <c r="J190" s="13"/>
    </row>
    <row r="191">
      <c r="D191" s="82"/>
      <c r="I191" s="18"/>
      <c r="J191" s="13"/>
    </row>
    <row r="192">
      <c r="D192" s="82"/>
      <c r="I192" s="18"/>
      <c r="J192" s="13"/>
    </row>
    <row r="193">
      <c r="D193" s="82"/>
      <c r="I193" s="18"/>
      <c r="J193" s="13"/>
    </row>
    <row r="194">
      <c r="D194" s="82"/>
      <c r="I194" s="18"/>
      <c r="J194" s="13"/>
    </row>
    <row r="195">
      <c r="D195" s="82"/>
      <c r="I195" s="18"/>
      <c r="J195" s="13"/>
    </row>
    <row r="196">
      <c r="D196" s="82"/>
      <c r="I196" s="18"/>
      <c r="J196" s="13"/>
    </row>
    <row r="197">
      <c r="D197" s="82"/>
      <c r="I197" s="18"/>
      <c r="J197" s="13"/>
    </row>
    <row r="198">
      <c r="D198" s="82"/>
      <c r="I198" s="18"/>
      <c r="J198" s="13"/>
    </row>
    <row r="199">
      <c r="D199" s="82"/>
      <c r="I199" s="18"/>
      <c r="J199" s="13"/>
    </row>
    <row r="200">
      <c r="D200" s="82"/>
      <c r="I200" s="18"/>
      <c r="J200" s="13"/>
    </row>
    <row r="201">
      <c r="D201" s="82"/>
      <c r="I201" s="18"/>
      <c r="J201" s="13"/>
    </row>
    <row r="202">
      <c r="D202" s="82"/>
      <c r="I202" s="18"/>
      <c r="J202" s="13"/>
    </row>
    <row r="203">
      <c r="D203" s="82"/>
      <c r="I203" s="18"/>
      <c r="J203" s="13"/>
    </row>
    <row r="204">
      <c r="D204" s="82"/>
      <c r="I204" s="18"/>
      <c r="J204" s="13"/>
    </row>
    <row r="205">
      <c r="D205" s="82"/>
      <c r="I205" s="18"/>
      <c r="J205" s="13"/>
    </row>
    <row r="206">
      <c r="D206" s="82"/>
      <c r="I206" s="18"/>
      <c r="J206" s="13"/>
    </row>
    <row r="207">
      <c r="D207" s="82"/>
      <c r="I207" s="18"/>
      <c r="J207" s="13"/>
    </row>
    <row r="208">
      <c r="D208" s="82"/>
      <c r="I208" s="18"/>
      <c r="J208" s="13"/>
    </row>
    <row r="209">
      <c r="D209" s="82"/>
      <c r="I209" s="18"/>
      <c r="J209" s="13"/>
    </row>
    <row r="210">
      <c r="D210" s="82"/>
      <c r="I210" s="18"/>
      <c r="J210" s="13"/>
    </row>
    <row r="211">
      <c r="D211" s="82"/>
      <c r="I211" s="18"/>
      <c r="J211" s="13"/>
    </row>
    <row r="212">
      <c r="D212" s="82"/>
      <c r="I212" s="18"/>
      <c r="J212" s="13"/>
    </row>
    <row r="213">
      <c r="D213" s="82"/>
      <c r="I213" s="18"/>
      <c r="J213" s="13"/>
    </row>
    <row r="214">
      <c r="D214" s="82"/>
      <c r="I214" s="18"/>
      <c r="J214" s="13"/>
    </row>
    <row r="215">
      <c r="D215" s="82"/>
      <c r="I215" s="18"/>
      <c r="J215" s="13"/>
    </row>
    <row r="216">
      <c r="D216" s="82"/>
      <c r="I216" s="18"/>
      <c r="J216" s="13"/>
    </row>
    <row r="217">
      <c r="D217" s="82"/>
      <c r="I217" s="18"/>
      <c r="J217" s="13"/>
    </row>
    <row r="218">
      <c r="D218" s="82"/>
      <c r="I218" s="18"/>
      <c r="J218" s="13"/>
    </row>
    <row r="219">
      <c r="D219" s="82"/>
      <c r="I219" s="18"/>
      <c r="J219" s="13"/>
    </row>
    <row r="220">
      <c r="D220" s="82"/>
      <c r="I220" s="18"/>
      <c r="J220" s="13"/>
    </row>
    <row r="221">
      <c r="D221" s="82"/>
      <c r="I221" s="18"/>
      <c r="J221" s="13"/>
    </row>
    <row r="222">
      <c r="D222" s="82"/>
      <c r="I222" s="18"/>
      <c r="J222" s="13"/>
    </row>
    <row r="223">
      <c r="D223" s="82"/>
      <c r="I223" s="18"/>
      <c r="J223" s="13"/>
    </row>
    <row r="224">
      <c r="D224" s="82"/>
      <c r="I224" s="18"/>
      <c r="J224" s="13"/>
    </row>
    <row r="225">
      <c r="D225" s="82"/>
      <c r="I225" s="18"/>
      <c r="J225" s="13"/>
    </row>
    <row r="226">
      <c r="D226" s="82"/>
      <c r="I226" s="18"/>
      <c r="J226" s="13"/>
    </row>
    <row r="227">
      <c r="D227" s="82"/>
      <c r="I227" s="18"/>
      <c r="J227" s="13"/>
    </row>
    <row r="228">
      <c r="D228" s="82"/>
      <c r="I228" s="18"/>
      <c r="J228" s="13"/>
    </row>
    <row r="229">
      <c r="D229" s="82"/>
      <c r="I229" s="18"/>
      <c r="J229" s="13"/>
    </row>
    <row r="230">
      <c r="D230" s="82"/>
      <c r="I230" s="18"/>
      <c r="J230" s="13"/>
    </row>
    <row r="231">
      <c r="D231" s="82"/>
      <c r="I231" s="18"/>
      <c r="J231" s="13"/>
    </row>
    <row r="232">
      <c r="D232" s="82"/>
      <c r="I232" s="18"/>
      <c r="J232" s="13"/>
    </row>
    <row r="233">
      <c r="D233" s="82"/>
      <c r="I233" s="18"/>
      <c r="J233" s="13"/>
    </row>
    <row r="234">
      <c r="D234" s="82"/>
      <c r="I234" s="18"/>
      <c r="J234" s="13"/>
    </row>
    <row r="235">
      <c r="D235" s="82"/>
      <c r="I235" s="18"/>
      <c r="J235" s="13"/>
    </row>
    <row r="236">
      <c r="D236" s="82"/>
      <c r="I236" s="18"/>
      <c r="J236" s="13"/>
    </row>
    <row r="237">
      <c r="D237" s="82"/>
      <c r="I237" s="18"/>
      <c r="J237" s="13"/>
    </row>
    <row r="238">
      <c r="D238" s="82"/>
      <c r="I238" s="18"/>
      <c r="J238" s="13"/>
    </row>
    <row r="239">
      <c r="D239" s="82"/>
      <c r="I239" s="18"/>
      <c r="J239" s="13"/>
    </row>
    <row r="240">
      <c r="D240" s="82"/>
      <c r="I240" s="18"/>
      <c r="J240" s="13"/>
    </row>
    <row r="241">
      <c r="D241" s="82"/>
      <c r="I241" s="18"/>
      <c r="J241" s="13"/>
    </row>
    <row r="242">
      <c r="D242" s="82"/>
      <c r="I242" s="18"/>
      <c r="J242" s="13"/>
    </row>
    <row r="243">
      <c r="D243" s="82"/>
      <c r="I243" s="18"/>
      <c r="J243" s="13"/>
    </row>
    <row r="244">
      <c r="D244" s="82"/>
      <c r="I244" s="18"/>
      <c r="J244" s="13"/>
    </row>
    <row r="245">
      <c r="D245" s="82"/>
      <c r="I245" s="18"/>
      <c r="J245" s="13"/>
    </row>
    <row r="246">
      <c r="D246" s="82"/>
      <c r="I246" s="18"/>
      <c r="J246" s="13"/>
    </row>
    <row r="247">
      <c r="D247" s="82"/>
      <c r="I247" s="18"/>
      <c r="J247" s="13"/>
    </row>
    <row r="248">
      <c r="D248" s="82"/>
      <c r="I248" s="18"/>
      <c r="J248" s="13"/>
    </row>
    <row r="249">
      <c r="D249" s="82"/>
      <c r="I249" s="18"/>
      <c r="J249" s="13"/>
    </row>
    <row r="250">
      <c r="D250" s="82"/>
      <c r="I250" s="18"/>
      <c r="J250" s="13"/>
    </row>
    <row r="251">
      <c r="D251" s="82"/>
      <c r="I251" s="18"/>
      <c r="J251" s="13"/>
    </row>
    <row r="252">
      <c r="D252" s="82"/>
      <c r="I252" s="18"/>
      <c r="J252" s="13"/>
    </row>
    <row r="253">
      <c r="D253" s="82"/>
      <c r="I253" s="18"/>
      <c r="J253" s="13"/>
    </row>
    <row r="254">
      <c r="D254" s="82"/>
      <c r="I254" s="18"/>
      <c r="J254" s="13"/>
    </row>
    <row r="255">
      <c r="D255" s="82"/>
      <c r="I255" s="18"/>
      <c r="J255" s="13"/>
    </row>
    <row r="256">
      <c r="D256" s="82"/>
      <c r="I256" s="18"/>
      <c r="J256" s="13"/>
    </row>
    <row r="257">
      <c r="D257" s="82"/>
      <c r="I257" s="18"/>
      <c r="J257" s="13"/>
    </row>
    <row r="258">
      <c r="D258" s="82"/>
      <c r="I258" s="18"/>
      <c r="J258" s="13"/>
    </row>
    <row r="259">
      <c r="D259" s="82"/>
      <c r="I259" s="18"/>
      <c r="J259" s="13"/>
    </row>
    <row r="260">
      <c r="D260" s="82"/>
      <c r="I260" s="18"/>
      <c r="J260" s="13"/>
    </row>
    <row r="261">
      <c r="D261" s="82"/>
      <c r="I261" s="18"/>
      <c r="J261" s="13"/>
    </row>
    <row r="262">
      <c r="D262" s="82"/>
      <c r="I262" s="18"/>
      <c r="J262" s="13"/>
    </row>
    <row r="263">
      <c r="D263" s="82"/>
      <c r="I263" s="18"/>
      <c r="J263" s="13"/>
    </row>
    <row r="264">
      <c r="D264" s="82"/>
      <c r="I264" s="18"/>
      <c r="J264" s="13"/>
    </row>
    <row r="265">
      <c r="D265" s="82"/>
      <c r="I265" s="18"/>
      <c r="J265" s="13"/>
    </row>
    <row r="266">
      <c r="D266" s="82"/>
      <c r="I266" s="18"/>
      <c r="J266" s="13"/>
    </row>
    <row r="267">
      <c r="D267" s="82"/>
      <c r="I267" s="18"/>
      <c r="J267" s="13"/>
    </row>
    <row r="268">
      <c r="D268" s="82"/>
      <c r="I268" s="18"/>
      <c r="J268" s="13"/>
    </row>
    <row r="269">
      <c r="D269" s="82"/>
      <c r="I269" s="18"/>
      <c r="J269" s="13"/>
    </row>
    <row r="270">
      <c r="D270" s="82"/>
      <c r="I270" s="18"/>
      <c r="J270" s="13"/>
    </row>
    <row r="271">
      <c r="D271" s="82"/>
      <c r="I271" s="18"/>
      <c r="J271" s="13"/>
    </row>
    <row r="272">
      <c r="D272" s="82"/>
      <c r="I272" s="18"/>
      <c r="J272" s="13"/>
    </row>
    <row r="273">
      <c r="D273" s="82"/>
      <c r="I273" s="18"/>
      <c r="J273" s="13"/>
    </row>
    <row r="274">
      <c r="D274" s="82"/>
      <c r="I274" s="18"/>
      <c r="J274" s="13"/>
    </row>
    <row r="275">
      <c r="D275" s="82"/>
      <c r="I275" s="18"/>
      <c r="J275" s="13"/>
    </row>
    <row r="276">
      <c r="D276" s="82"/>
      <c r="I276" s="18"/>
      <c r="J276" s="13"/>
    </row>
    <row r="277">
      <c r="D277" s="82"/>
      <c r="I277" s="18"/>
      <c r="J277" s="13"/>
    </row>
    <row r="278">
      <c r="D278" s="82"/>
      <c r="I278" s="18"/>
      <c r="J278" s="13"/>
    </row>
    <row r="279">
      <c r="D279" s="82"/>
      <c r="I279" s="18"/>
      <c r="J279" s="13"/>
    </row>
    <row r="280">
      <c r="D280" s="82"/>
      <c r="I280" s="18"/>
      <c r="J280" s="13"/>
    </row>
    <row r="281">
      <c r="D281" s="82"/>
      <c r="I281" s="18"/>
      <c r="J281" s="13"/>
    </row>
    <row r="282">
      <c r="D282" s="82"/>
      <c r="I282" s="18"/>
      <c r="J282" s="13"/>
    </row>
    <row r="283">
      <c r="D283" s="82"/>
      <c r="I283" s="18"/>
      <c r="J283" s="13"/>
    </row>
    <row r="284">
      <c r="D284" s="82"/>
      <c r="I284" s="18"/>
      <c r="J284" s="13"/>
    </row>
    <row r="285">
      <c r="D285" s="82"/>
      <c r="I285" s="18"/>
      <c r="J285" s="13"/>
    </row>
    <row r="286">
      <c r="D286" s="82"/>
      <c r="I286" s="18"/>
      <c r="J286" s="13"/>
    </row>
    <row r="287">
      <c r="D287" s="82"/>
      <c r="I287" s="18"/>
      <c r="J287" s="13"/>
    </row>
    <row r="288">
      <c r="D288" s="82"/>
      <c r="I288" s="18"/>
      <c r="J288" s="13"/>
    </row>
    <row r="289">
      <c r="D289" s="82"/>
      <c r="I289" s="18"/>
      <c r="J289" s="13"/>
    </row>
    <row r="290">
      <c r="D290" s="82"/>
      <c r="I290" s="18"/>
      <c r="J290" s="13"/>
    </row>
    <row r="291">
      <c r="D291" s="82"/>
      <c r="I291" s="18"/>
      <c r="J291" s="13"/>
    </row>
    <row r="292">
      <c r="D292" s="82"/>
      <c r="I292" s="18"/>
      <c r="J292" s="13"/>
    </row>
    <row r="293">
      <c r="D293" s="82"/>
      <c r="I293" s="18"/>
      <c r="J293" s="13"/>
    </row>
    <row r="294">
      <c r="D294" s="82"/>
      <c r="I294" s="18"/>
      <c r="J294" s="13"/>
    </row>
    <row r="295">
      <c r="D295" s="82"/>
      <c r="I295" s="18"/>
      <c r="J295" s="13"/>
    </row>
    <row r="296">
      <c r="D296" s="82"/>
      <c r="I296" s="18"/>
      <c r="J296" s="13"/>
    </row>
    <row r="297">
      <c r="D297" s="82"/>
      <c r="I297" s="18"/>
      <c r="J297" s="13"/>
    </row>
    <row r="298">
      <c r="D298" s="82"/>
      <c r="I298" s="18"/>
      <c r="J298" s="13"/>
    </row>
    <row r="299">
      <c r="D299" s="82"/>
      <c r="I299" s="18"/>
      <c r="J299" s="13"/>
    </row>
    <row r="300">
      <c r="D300" s="82"/>
      <c r="I300" s="18"/>
      <c r="J300" s="13"/>
    </row>
    <row r="301">
      <c r="D301" s="82"/>
      <c r="I301" s="18"/>
      <c r="J301" s="13"/>
    </row>
    <row r="302">
      <c r="D302" s="82"/>
      <c r="I302" s="18"/>
      <c r="J302" s="13"/>
    </row>
    <row r="303">
      <c r="D303" s="82"/>
      <c r="I303" s="18"/>
      <c r="J303" s="13"/>
    </row>
    <row r="304">
      <c r="D304" s="82"/>
      <c r="I304" s="18"/>
      <c r="J304" s="13"/>
    </row>
    <row r="305">
      <c r="D305" s="82"/>
      <c r="I305" s="18"/>
      <c r="J305" s="13"/>
    </row>
    <row r="306">
      <c r="D306" s="82"/>
      <c r="I306" s="18"/>
      <c r="J306" s="13"/>
    </row>
    <row r="307">
      <c r="D307" s="82"/>
      <c r="I307" s="18"/>
      <c r="J307" s="13"/>
    </row>
    <row r="308">
      <c r="D308" s="82"/>
      <c r="I308" s="18"/>
      <c r="J308" s="13"/>
    </row>
    <row r="309">
      <c r="D309" s="82"/>
      <c r="I309" s="18"/>
      <c r="J309" s="13"/>
    </row>
    <row r="310">
      <c r="D310" s="82"/>
      <c r="I310" s="18"/>
      <c r="J310" s="13"/>
    </row>
    <row r="311">
      <c r="D311" s="82"/>
      <c r="I311" s="18"/>
      <c r="J311" s="13"/>
    </row>
    <row r="312">
      <c r="D312" s="82"/>
      <c r="I312" s="18"/>
      <c r="J312" s="13"/>
    </row>
    <row r="313">
      <c r="D313" s="82"/>
      <c r="I313" s="18"/>
      <c r="J313" s="13"/>
    </row>
    <row r="314">
      <c r="D314" s="82"/>
      <c r="I314" s="18"/>
      <c r="J314" s="13"/>
    </row>
    <row r="315">
      <c r="D315" s="82"/>
      <c r="I315" s="18"/>
      <c r="J315" s="13"/>
    </row>
    <row r="316">
      <c r="D316" s="82"/>
      <c r="I316" s="18"/>
      <c r="J316" s="13"/>
    </row>
    <row r="317">
      <c r="D317" s="82"/>
      <c r="I317" s="18"/>
      <c r="J317" s="13"/>
    </row>
    <row r="318">
      <c r="D318" s="82"/>
      <c r="I318" s="18"/>
      <c r="J318" s="13"/>
    </row>
    <row r="319">
      <c r="D319" s="82"/>
      <c r="I319" s="18"/>
      <c r="J319" s="13"/>
    </row>
    <row r="320">
      <c r="D320" s="82"/>
      <c r="I320" s="18"/>
      <c r="J320" s="13"/>
    </row>
    <row r="321">
      <c r="D321" s="82"/>
      <c r="I321" s="18"/>
      <c r="J321" s="13"/>
    </row>
    <row r="322">
      <c r="D322" s="82"/>
      <c r="I322" s="18"/>
      <c r="J322" s="13"/>
    </row>
    <row r="323">
      <c r="D323" s="82"/>
      <c r="I323" s="18"/>
      <c r="J323" s="13"/>
    </row>
    <row r="324">
      <c r="D324" s="82"/>
      <c r="I324" s="18"/>
      <c r="J324" s="13"/>
    </row>
    <row r="325">
      <c r="D325" s="82"/>
      <c r="I325" s="18"/>
      <c r="J325" s="13"/>
    </row>
    <row r="326">
      <c r="D326" s="82"/>
      <c r="I326" s="18"/>
      <c r="J326" s="13"/>
    </row>
    <row r="327">
      <c r="D327" s="82"/>
      <c r="I327" s="18"/>
      <c r="J327" s="13"/>
    </row>
    <row r="328">
      <c r="D328" s="82"/>
      <c r="I328" s="18"/>
      <c r="J328" s="13"/>
    </row>
    <row r="329">
      <c r="D329" s="82"/>
      <c r="I329" s="18"/>
      <c r="J329" s="13"/>
    </row>
    <row r="330">
      <c r="D330" s="82"/>
      <c r="I330" s="18"/>
      <c r="J330" s="13"/>
    </row>
    <row r="331">
      <c r="D331" s="82"/>
      <c r="I331" s="18"/>
      <c r="J331" s="13"/>
    </row>
    <row r="332">
      <c r="D332" s="82"/>
      <c r="I332" s="18"/>
      <c r="J332" s="13"/>
    </row>
    <row r="333">
      <c r="D333" s="82"/>
      <c r="I333" s="18"/>
      <c r="J333" s="13"/>
    </row>
    <row r="334">
      <c r="D334" s="82"/>
      <c r="I334" s="18"/>
      <c r="J334" s="13"/>
    </row>
    <row r="335">
      <c r="D335" s="82"/>
      <c r="I335" s="18"/>
      <c r="J335" s="13"/>
    </row>
    <row r="336">
      <c r="D336" s="82"/>
      <c r="I336" s="18"/>
      <c r="J336" s="13"/>
    </row>
    <row r="337">
      <c r="D337" s="82"/>
      <c r="I337" s="18"/>
      <c r="J337" s="13"/>
    </row>
    <row r="338">
      <c r="D338" s="82"/>
      <c r="I338" s="18"/>
      <c r="J338" s="13"/>
    </row>
    <row r="339">
      <c r="D339" s="82"/>
      <c r="I339" s="18"/>
      <c r="J339" s="13"/>
    </row>
    <row r="340">
      <c r="D340" s="82"/>
      <c r="I340" s="18"/>
      <c r="J340" s="13"/>
    </row>
    <row r="341">
      <c r="D341" s="82"/>
      <c r="I341" s="18"/>
      <c r="J341" s="13"/>
    </row>
    <row r="342">
      <c r="D342" s="82"/>
      <c r="I342" s="18"/>
      <c r="J342" s="13"/>
    </row>
    <row r="343">
      <c r="D343" s="82"/>
      <c r="I343" s="18"/>
      <c r="J343" s="13"/>
    </row>
    <row r="344">
      <c r="D344" s="82"/>
      <c r="I344" s="18"/>
      <c r="J344" s="13"/>
    </row>
    <row r="345">
      <c r="D345" s="82"/>
      <c r="I345" s="18"/>
      <c r="J345" s="13"/>
    </row>
    <row r="346">
      <c r="D346" s="82"/>
      <c r="I346" s="18"/>
      <c r="J346" s="13"/>
    </row>
    <row r="347">
      <c r="D347" s="82"/>
      <c r="I347" s="18"/>
      <c r="J347" s="13"/>
    </row>
    <row r="348">
      <c r="D348" s="82"/>
      <c r="I348" s="18"/>
      <c r="J348" s="13"/>
    </row>
    <row r="349">
      <c r="D349" s="82"/>
      <c r="I349" s="18"/>
      <c r="J349" s="13"/>
    </row>
    <row r="350">
      <c r="D350" s="82"/>
      <c r="I350" s="18"/>
      <c r="J350" s="13"/>
    </row>
    <row r="351">
      <c r="D351" s="82"/>
      <c r="I351" s="18"/>
      <c r="J351" s="13"/>
    </row>
    <row r="352">
      <c r="D352" s="82"/>
      <c r="I352" s="18"/>
      <c r="J352" s="13"/>
    </row>
    <row r="353">
      <c r="D353" s="82"/>
      <c r="I353" s="18"/>
      <c r="J353" s="13"/>
    </row>
    <row r="354">
      <c r="D354" s="82"/>
      <c r="I354" s="18"/>
      <c r="J354" s="13"/>
    </row>
    <row r="355">
      <c r="D355" s="82"/>
      <c r="I355" s="18"/>
      <c r="J355" s="13"/>
    </row>
    <row r="356">
      <c r="D356" s="82"/>
      <c r="I356" s="18"/>
      <c r="J356" s="13"/>
    </row>
    <row r="357">
      <c r="D357" s="82"/>
      <c r="I357" s="18"/>
      <c r="J357" s="13"/>
    </row>
    <row r="358">
      <c r="D358" s="82"/>
      <c r="I358" s="18"/>
      <c r="J358" s="13"/>
    </row>
    <row r="359">
      <c r="D359" s="82"/>
      <c r="I359" s="18"/>
      <c r="J359" s="13"/>
    </row>
    <row r="360">
      <c r="D360" s="82"/>
      <c r="I360" s="18"/>
      <c r="J360" s="13"/>
    </row>
    <row r="361">
      <c r="D361" s="82"/>
      <c r="I361" s="18"/>
      <c r="J361" s="13"/>
    </row>
    <row r="362">
      <c r="D362" s="82"/>
      <c r="I362" s="18"/>
      <c r="J362" s="13"/>
    </row>
    <row r="363">
      <c r="D363" s="82"/>
      <c r="I363" s="18"/>
      <c r="J363" s="13"/>
    </row>
    <row r="364">
      <c r="D364" s="82"/>
      <c r="I364" s="18"/>
      <c r="J364" s="13"/>
    </row>
    <row r="365">
      <c r="D365" s="82"/>
      <c r="I365" s="18"/>
      <c r="J365" s="13"/>
    </row>
    <row r="366">
      <c r="D366" s="82"/>
      <c r="I366" s="18"/>
      <c r="J366" s="13"/>
    </row>
    <row r="367">
      <c r="D367" s="82"/>
      <c r="I367" s="18"/>
      <c r="J367" s="13"/>
    </row>
    <row r="368">
      <c r="D368" s="82"/>
      <c r="I368" s="18"/>
      <c r="J368" s="13"/>
    </row>
    <row r="369">
      <c r="D369" s="82"/>
      <c r="I369" s="18"/>
      <c r="J369" s="13"/>
    </row>
    <row r="370">
      <c r="D370" s="82"/>
      <c r="I370" s="18"/>
      <c r="J370" s="13"/>
    </row>
    <row r="371">
      <c r="D371" s="82"/>
      <c r="I371" s="18"/>
      <c r="J371" s="13"/>
    </row>
    <row r="372">
      <c r="D372" s="82"/>
      <c r="I372" s="18"/>
      <c r="J372" s="13"/>
    </row>
    <row r="373">
      <c r="D373" s="82"/>
      <c r="I373" s="18"/>
      <c r="J373" s="13"/>
    </row>
    <row r="374">
      <c r="D374" s="82"/>
      <c r="I374" s="18"/>
      <c r="J374" s="13"/>
    </row>
    <row r="375">
      <c r="D375" s="82"/>
      <c r="I375" s="18"/>
      <c r="J375" s="13"/>
    </row>
    <row r="376">
      <c r="D376" s="82"/>
      <c r="I376" s="18"/>
      <c r="J376" s="13"/>
    </row>
    <row r="377">
      <c r="D377" s="82"/>
      <c r="I377" s="18"/>
      <c r="J377" s="13"/>
    </row>
    <row r="378">
      <c r="D378" s="82"/>
      <c r="I378" s="18"/>
      <c r="J378" s="13"/>
    </row>
    <row r="379">
      <c r="D379" s="82"/>
      <c r="I379" s="18"/>
      <c r="J379" s="13"/>
    </row>
    <row r="380">
      <c r="D380" s="82"/>
      <c r="I380" s="18"/>
      <c r="J380" s="13"/>
    </row>
    <row r="381">
      <c r="D381" s="82"/>
      <c r="I381" s="18"/>
      <c r="J381" s="13"/>
    </row>
    <row r="382">
      <c r="D382" s="82"/>
      <c r="I382" s="18"/>
      <c r="J382" s="13"/>
    </row>
    <row r="383">
      <c r="D383" s="82"/>
      <c r="I383" s="18"/>
      <c r="J383" s="13"/>
    </row>
    <row r="384">
      <c r="D384" s="82"/>
      <c r="I384" s="18"/>
      <c r="J384" s="13"/>
    </row>
    <row r="385">
      <c r="D385" s="82"/>
      <c r="I385" s="18"/>
      <c r="J385" s="13"/>
    </row>
    <row r="386">
      <c r="D386" s="82"/>
      <c r="I386" s="18"/>
      <c r="J386" s="13"/>
    </row>
    <row r="387">
      <c r="D387" s="82"/>
      <c r="I387" s="18"/>
      <c r="J387" s="13"/>
    </row>
    <row r="388">
      <c r="D388" s="82"/>
      <c r="I388" s="18"/>
      <c r="J388" s="13"/>
    </row>
    <row r="389">
      <c r="D389" s="82"/>
      <c r="I389" s="18"/>
      <c r="J389" s="13"/>
    </row>
    <row r="390">
      <c r="D390" s="82"/>
      <c r="I390" s="18"/>
      <c r="J390" s="13"/>
    </row>
    <row r="391">
      <c r="D391" s="82"/>
      <c r="I391" s="18"/>
      <c r="J391" s="13"/>
    </row>
    <row r="392">
      <c r="D392" s="82"/>
      <c r="I392" s="18"/>
      <c r="J392" s="13"/>
    </row>
    <row r="393">
      <c r="D393" s="82"/>
      <c r="I393" s="18"/>
      <c r="J393" s="13"/>
    </row>
    <row r="394">
      <c r="D394" s="82"/>
      <c r="I394" s="18"/>
      <c r="J394" s="13"/>
    </row>
    <row r="395">
      <c r="D395" s="82"/>
      <c r="I395" s="18"/>
      <c r="J395" s="13"/>
    </row>
    <row r="396">
      <c r="D396" s="82"/>
      <c r="I396" s="18"/>
      <c r="J396" s="13"/>
    </row>
    <row r="397">
      <c r="D397" s="82"/>
      <c r="I397" s="18"/>
      <c r="J397" s="13"/>
    </row>
    <row r="398">
      <c r="D398" s="82"/>
      <c r="I398" s="18"/>
      <c r="J398" s="13"/>
    </row>
    <row r="399">
      <c r="D399" s="82"/>
      <c r="I399" s="18"/>
      <c r="J399" s="13"/>
    </row>
    <row r="400">
      <c r="D400" s="82"/>
      <c r="I400" s="18"/>
      <c r="J400" s="13"/>
    </row>
    <row r="401">
      <c r="D401" s="82"/>
      <c r="I401" s="18"/>
      <c r="J401" s="13"/>
    </row>
    <row r="402">
      <c r="D402" s="82"/>
      <c r="I402" s="18"/>
      <c r="J402" s="13"/>
    </row>
    <row r="403">
      <c r="D403" s="82"/>
      <c r="I403" s="18"/>
      <c r="J403" s="13"/>
    </row>
    <row r="404">
      <c r="D404" s="82"/>
      <c r="I404" s="18"/>
      <c r="J404" s="13"/>
    </row>
    <row r="405">
      <c r="D405" s="82"/>
      <c r="I405" s="18"/>
      <c r="J405" s="13"/>
    </row>
    <row r="406">
      <c r="D406" s="82"/>
      <c r="I406" s="18"/>
      <c r="J406" s="13"/>
    </row>
    <row r="407">
      <c r="D407" s="82"/>
      <c r="I407" s="18"/>
      <c r="J407" s="13"/>
    </row>
    <row r="408">
      <c r="D408" s="82"/>
      <c r="I408" s="18"/>
      <c r="J408" s="13"/>
    </row>
    <row r="409">
      <c r="D409" s="82"/>
      <c r="I409" s="18"/>
      <c r="J409" s="13"/>
    </row>
    <row r="410">
      <c r="D410" s="82"/>
      <c r="I410" s="18"/>
      <c r="J410" s="13"/>
    </row>
    <row r="411">
      <c r="D411" s="82"/>
      <c r="I411" s="18"/>
      <c r="J411" s="13"/>
    </row>
    <row r="412">
      <c r="D412" s="82"/>
      <c r="I412" s="18"/>
      <c r="J412" s="13"/>
    </row>
    <row r="413">
      <c r="D413" s="82"/>
      <c r="I413" s="18"/>
      <c r="J413" s="13"/>
    </row>
    <row r="414">
      <c r="D414" s="82"/>
      <c r="I414" s="18"/>
      <c r="J414" s="13"/>
    </row>
    <row r="415">
      <c r="D415" s="82"/>
      <c r="I415" s="18"/>
      <c r="J415" s="13"/>
    </row>
    <row r="416">
      <c r="D416" s="82"/>
      <c r="I416" s="18"/>
      <c r="J416" s="13"/>
    </row>
    <row r="417">
      <c r="D417" s="82"/>
      <c r="I417" s="18"/>
      <c r="J417" s="13"/>
    </row>
    <row r="418">
      <c r="D418" s="82"/>
      <c r="I418" s="18"/>
      <c r="J418" s="13"/>
    </row>
    <row r="419">
      <c r="D419" s="82"/>
      <c r="I419" s="18"/>
      <c r="J419" s="13"/>
    </row>
    <row r="420">
      <c r="D420" s="82"/>
      <c r="I420" s="18"/>
      <c r="J420" s="13"/>
    </row>
    <row r="421">
      <c r="D421" s="82"/>
      <c r="I421" s="18"/>
      <c r="J421" s="13"/>
    </row>
    <row r="422">
      <c r="D422" s="82"/>
      <c r="I422" s="18"/>
      <c r="J422" s="13"/>
    </row>
    <row r="423">
      <c r="D423" s="82"/>
      <c r="I423" s="18"/>
      <c r="J423" s="13"/>
    </row>
    <row r="424">
      <c r="D424" s="82"/>
      <c r="I424" s="18"/>
      <c r="J424" s="13"/>
    </row>
    <row r="425">
      <c r="D425" s="82"/>
      <c r="I425" s="18"/>
      <c r="J425" s="13"/>
    </row>
    <row r="426">
      <c r="D426" s="82"/>
      <c r="I426" s="18"/>
      <c r="J426" s="13"/>
    </row>
    <row r="427">
      <c r="D427" s="82"/>
      <c r="I427" s="18"/>
      <c r="J427" s="13"/>
    </row>
    <row r="428">
      <c r="D428" s="82"/>
      <c r="I428" s="18"/>
      <c r="J428" s="13"/>
    </row>
    <row r="429">
      <c r="D429" s="82"/>
      <c r="I429" s="18"/>
      <c r="J429" s="13"/>
    </row>
    <row r="430">
      <c r="D430" s="82"/>
      <c r="I430" s="18"/>
      <c r="J430" s="13"/>
    </row>
    <row r="431">
      <c r="D431" s="82"/>
      <c r="I431" s="18"/>
      <c r="J431" s="13"/>
    </row>
    <row r="432">
      <c r="D432" s="82"/>
      <c r="I432" s="18"/>
      <c r="J432" s="13"/>
    </row>
    <row r="433">
      <c r="D433" s="82"/>
      <c r="I433" s="18"/>
      <c r="J433" s="13"/>
    </row>
    <row r="434">
      <c r="D434" s="82"/>
      <c r="I434" s="18"/>
      <c r="J434" s="13"/>
    </row>
    <row r="435">
      <c r="D435" s="82"/>
      <c r="I435" s="18"/>
      <c r="J435" s="13"/>
    </row>
    <row r="436">
      <c r="D436" s="82"/>
      <c r="I436" s="18"/>
      <c r="J436" s="13"/>
    </row>
    <row r="437">
      <c r="D437" s="82"/>
      <c r="I437" s="18"/>
      <c r="J437" s="13"/>
    </row>
    <row r="438">
      <c r="D438" s="82"/>
      <c r="I438" s="18"/>
      <c r="J438" s="13"/>
    </row>
    <row r="439">
      <c r="D439" s="82"/>
      <c r="I439" s="18"/>
      <c r="J439" s="13"/>
    </row>
    <row r="440">
      <c r="D440" s="82"/>
      <c r="I440" s="18"/>
      <c r="J440" s="13"/>
    </row>
    <row r="441">
      <c r="D441" s="82"/>
      <c r="I441" s="18"/>
      <c r="J441" s="13"/>
    </row>
    <row r="442">
      <c r="D442" s="82"/>
      <c r="I442" s="18"/>
      <c r="J442" s="13"/>
    </row>
    <row r="443">
      <c r="D443" s="82"/>
      <c r="I443" s="18"/>
      <c r="J443" s="13"/>
    </row>
    <row r="444">
      <c r="D444" s="82"/>
      <c r="I444" s="18"/>
      <c r="J444" s="13"/>
    </row>
    <row r="445">
      <c r="D445" s="82"/>
      <c r="I445" s="18"/>
      <c r="J445" s="13"/>
    </row>
    <row r="446">
      <c r="D446" s="82"/>
      <c r="I446" s="18"/>
      <c r="J446" s="13"/>
    </row>
    <row r="447">
      <c r="D447" s="82"/>
      <c r="I447" s="18"/>
      <c r="J447" s="13"/>
    </row>
    <row r="448">
      <c r="D448" s="82"/>
      <c r="I448" s="18"/>
      <c r="J448" s="13"/>
    </row>
    <row r="449">
      <c r="D449" s="82"/>
      <c r="I449" s="18"/>
      <c r="J449" s="13"/>
    </row>
    <row r="450">
      <c r="D450" s="82"/>
      <c r="I450" s="18"/>
      <c r="J450" s="13"/>
    </row>
    <row r="451">
      <c r="D451" s="82"/>
      <c r="I451" s="18"/>
      <c r="J451" s="13"/>
    </row>
    <row r="452">
      <c r="D452" s="82"/>
      <c r="I452" s="18"/>
      <c r="J452" s="13"/>
    </row>
    <row r="453">
      <c r="D453" s="82"/>
      <c r="I453" s="18"/>
      <c r="J453" s="13"/>
    </row>
    <row r="454">
      <c r="D454" s="82"/>
      <c r="I454" s="18"/>
      <c r="J454" s="13"/>
    </row>
    <row r="455">
      <c r="D455" s="82"/>
      <c r="I455" s="18"/>
      <c r="J455" s="13"/>
    </row>
    <row r="456">
      <c r="D456" s="82"/>
      <c r="I456" s="18"/>
      <c r="J456" s="13"/>
    </row>
    <row r="457">
      <c r="D457" s="82"/>
      <c r="I457" s="18"/>
      <c r="J457" s="13"/>
    </row>
    <row r="458">
      <c r="D458" s="82"/>
      <c r="I458" s="18"/>
      <c r="J458" s="13"/>
    </row>
    <row r="459">
      <c r="D459" s="82"/>
      <c r="I459" s="18"/>
      <c r="J459" s="13"/>
    </row>
    <row r="460">
      <c r="D460" s="82"/>
      <c r="I460" s="18"/>
      <c r="J460" s="13"/>
    </row>
    <row r="461">
      <c r="D461" s="82"/>
      <c r="I461" s="18"/>
      <c r="J461" s="13"/>
    </row>
    <row r="462">
      <c r="D462" s="82"/>
      <c r="I462" s="18"/>
      <c r="J462" s="13"/>
    </row>
    <row r="463">
      <c r="D463" s="82"/>
      <c r="I463" s="18"/>
      <c r="J463" s="13"/>
    </row>
    <row r="464">
      <c r="D464" s="82"/>
      <c r="I464" s="18"/>
      <c r="J464" s="13"/>
    </row>
    <row r="465">
      <c r="D465" s="82"/>
      <c r="I465" s="18"/>
      <c r="J465" s="13"/>
    </row>
    <row r="466">
      <c r="D466" s="82"/>
      <c r="I466" s="18"/>
      <c r="J466" s="13"/>
    </row>
    <row r="467">
      <c r="D467" s="82"/>
      <c r="I467" s="18"/>
      <c r="J467" s="13"/>
    </row>
    <row r="468">
      <c r="D468" s="82"/>
      <c r="I468" s="18"/>
      <c r="J468" s="13"/>
    </row>
    <row r="469">
      <c r="D469" s="82"/>
      <c r="I469" s="18"/>
      <c r="J469" s="13"/>
    </row>
    <row r="470">
      <c r="D470" s="82"/>
      <c r="I470" s="18"/>
      <c r="J470" s="13"/>
    </row>
    <row r="471">
      <c r="D471" s="82"/>
      <c r="I471" s="18"/>
      <c r="J471" s="13"/>
    </row>
    <row r="472">
      <c r="D472" s="82"/>
      <c r="I472" s="18"/>
      <c r="J472" s="13"/>
    </row>
    <row r="473">
      <c r="D473" s="82"/>
      <c r="I473" s="18"/>
      <c r="J473" s="13"/>
    </row>
    <row r="474">
      <c r="D474" s="82"/>
      <c r="I474" s="18"/>
      <c r="J474" s="13"/>
    </row>
    <row r="475">
      <c r="D475" s="82"/>
      <c r="I475" s="18"/>
      <c r="J475" s="13"/>
    </row>
    <row r="476">
      <c r="D476" s="82"/>
      <c r="I476" s="18"/>
      <c r="J476" s="13"/>
    </row>
    <row r="477">
      <c r="D477" s="82"/>
      <c r="I477" s="18"/>
      <c r="J477" s="13"/>
    </row>
    <row r="478">
      <c r="D478" s="82"/>
      <c r="I478" s="18"/>
      <c r="J478" s="13"/>
    </row>
    <row r="479">
      <c r="D479" s="82"/>
      <c r="I479" s="18"/>
      <c r="J479" s="13"/>
    </row>
    <row r="480">
      <c r="D480" s="82"/>
      <c r="I480" s="18"/>
      <c r="J480" s="13"/>
    </row>
    <row r="481">
      <c r="D481" s="82"/>
      <c r="I481" s="18"/>
      <c r="J481" s="13"/>
    </row>
    <row r="482">
      <c r="D482" s="82"/>
      <c r="I482" s="18"/>
      <c r="J482" s="13"/>
    </row>
    <row r="483">
      <c r="D483" s="82"/>
      <c r="I483" s="18"/>
      <c r="J483" s="13"/>
    </row>
    <row r="484">
      <c r="D484" s="82"/>
      <c r="I484" s="18"/>
      <c r="J484" s="13"/>
    </row>
    <row r="485">
      <c r="D485" s="82"/>
      <c r="I485" s="18"/>
      <c r="J485" s="13"/>
    </row>
    <row r="486">
      <c r="D486" s="82"/>
      <c r="I486" s="18"/>
      <c r="J486" s="13"/>
    </row>
    <row r="487">
      <c r="D487" s="82"/>
      <c r="I487" s="18"/>
      <c r="J487" s="13"/>
    </row>
    <row r="488">
      <c r="D488" s="82"/>
      <c r="I488" s="18"/>
      <c r="J488" s="13"/>
    </row>
    <row r="489">
      <c r="D489" s="82"/>
      <c r="I489" s="18"/>
      <c r="J489" s="13"/>
    </row>
    <row r="490">
      <c r="D490" s="82"/>
      <c r="I490" s="18"/>
      <c r="J490" s="13"/>
    </row>
    <row r="491">
      <c r="D491" s="82"/>
      <c r="I491" s="18"/>
      <c r="J491" s="13"/>
    </row>
    <row r="492">
      <c r="D492" s="82"/>
      <c r="I492" s="18"/>
      <c r="J492" s="13"/>
    </row>
    <row r="493">
      <c r="D493" s="82"/>
      <c r="I493" s="18"/>
      <c r="J493" s="13"/>
    </row>
    <row r="494">
      <c r="D494" s="82"/>
      <c r="I494" s="18"/>
      <c r="J494" s="13"/>
    </row>
    <row r="495">
      <c r="D495" s="82"/>
      <c r="I495" s="18"/>
      <c r="J495" s="13"/>
    </row>
    <row r="496">
      <c r="D496" s="82"/>
      <c r="I496" s="18"/>
      <c r="J496" s="13"/>
    </row>
    <row r="497">
      <c r="D497" s="82"/>
      <c r="I497" s="18"/>
      <c r="J497" s="13"/>
    </row>
    <row r="498">
      <c r="D498" s="82"/>
      <c r="I498" s="18"/>
      <c r="J498" s="13"/>
    </row>
    <row r="499">
      <c r="D499" s="82"/>
      <c r="I499" s="18"/>
      <c r="J499" s="13"/>
    </row>
    <row r="500">
      <c r="D500" s="82"/>
      <c r="I500" s="18"/>
      <c r="J500" s="13"/>
    </row>
    <row r="501">
      <c r="D501" s="82"/>
      <c r="I501" s="18"/>
      <c r="J501" s="13"/>
    </row>
    <row r="502">
      <c r="D502" s="82"/>
      <c r="I502" s="18"/>
      <c r="J502" s="13"/>
    </row>
    <row r="503">
      <c r="D503" s="82"/>
      <c r="I503" s="18"/>
      <c r="J503" s="13"/>
    </row>
    <row r="504">
      <c r="D504" s="82"/>
      <c r="I504" s="18"/>
      <c r="J504" s="13"/>
    </row>
    <row r="505">
      <c r="D505" s="82"/>
      <c r="I505" s="18"/>
      <c r="J505" s="13"/>
    </row>
    <row r="506">
      <c r="D506" s="82"/>
      <c r="I506" s="18"/>
      <c r="J506" s="13"/>
    </row>
    <row r="507">
      <c r="D507" s="82"/>
      <c r="I507" s="18"/>
      <c r="J507" s="13"/>
    </row>
    <row r="508">
      <c r="D508" s="82"/>
      <c r="I508" s="18"/>
      <c r="J508" s="13"/>
    </row>
    <row r="509">
      <c r="D509" s="82"/>
      <c r="I509" s="18"/>
      <c r="J509" s="13"/>
    </row>
    <row r="510">
      <c r="D510" s="82"/>
      <c r="I510" s="18"/>
      <c r="J510" s="13"/>
    </row>
    <row r="511">
      <c r="D511" s="82"/>
      <c r="I511" s="18"/>
      <c r="J511" s="13"/>
    </row>
    <row r="512">
      <c r="D512" s="82"/>
      <c r="I512" s="18"/>
      <c r="J512" s="13"/>
    </row>
    <row r="513">
      <c r="D513" s="82"/>
      <c r="I513" s="18"/>
      <c r="J513" s="13"/>
    </row>
    <row r="514">
      <c r="D514" s="82"/>
      <c r="I514" s="18"/>
      <c r="J514" s="13"/>
    </row>
    <row r="515">
      <c r="D515" s="82"/>
      <c r="I515" s="18"/>
      <c r="J515" s="13"/>
    </row>
    <row r="516">
      <c r="D516" s="82"/>
      <c r="I516" s="18"/>
      <c r="J516" s="13"/>
    </row>
    <row r="517">
      <c r="D517" s="82"/>
      <c r="I517" s="18"/>
      <c r="J517" s="13"/>
    </row>
    <row r="518">
      <c r="D518" s="82"/>
      <c r="I518" s="18"/>
      <c r="J518" s="13"/>
    </row>
    <row r="519">
      <c r="D519" s="82"/>
      <c r="I519" s="18"/>
      <c r="J519" s="13"/>
    </row>
    <row r="520">
      <c r="D520" s="82"/>
      <c r="I520" s="18"/>
      <c r="J520" s="13"/>
    </row>
    <row r="521">
      <c r="D521" s="82"/>
      <c r="I521" s="18"/>
      <c r="J521" s="13"/>
    </row>
    <row r="522">
      <c r="D522" s="82"/>
      <c r="I522" s="18"/>
      <c r="J522" s="13"/>
    </row>
    <row r="523">
      <c r="D523" s="82"/>
      <c r="I523" s="18"/>
      <c r="J523" s="13"/>
    </row>
    <row r="524">
      <c r="D524" s="82"/>
      <c r="I524" s="18"/>
      <c r="J524" s="13"/>
    </row>
    <row r="525">
      <c r="D525" s="82"/>
      <c r="I525" s="18"/>
      <c r="J525" s="13"/>
    </row>
    <row r="526">
      <c r="D526" s="82"/>
      <c r="I526" s="18"/>
      <c r="J526" s="13"/>
    </row>
    <row r="527">
      <c r="D527" s="82"/>
      <c r="I527" s="18"/>
      <c r="J527" s="13"/>
    </row>
    <row r="528">
      <c r="D528" s="82"/>
      <c r="I528" s="18"/>
      <c r="J528" s="13"/>
    </row>
    <row r="529">
      <c r="D529" s="82"/>
      <c r="I529" s="18"/>
      <c r="J529" s="13"/>
    </row>
    <row r="530">
      <c r="D530" s="82"/>
      <c r="I530" s="18"/>
      <c r="J530" s="13"/>
    </row>
    <row r="531">
      <c r="D531" s="82"/>
      <c r="I531" s="18"/>
      <c r="J531" s="13"/>
    </row>
    <row r="532">
      <c r="D532" s="82"/>
      <c r="I532" s="18"/>
      <c r="J532" s="13"/>
    </row>
    <row r="533">
      <c r="D533" s="82"/>
      <c r="I533" s="18"/>
      <c r="J533" s="13"/>
    </row>
    <row r="534">
      <c r="D534" s="82"/>
      <c r="I534" s="18"/>
      <c r="J534" s="13"/>
    </row>
    <row r="535">
      <c r="D535" s="82"/>
      <c r="I535" s="18"/>
      <c r="J535" s="13"/>
    </row>
    <row r="536">
      <c r="D536" s="82"/>
      <c r="I536" s="18"/>
      <c r="J536" s="13"/>
    </row>
    <row r="537">
      <c r="D537" s="82"/>
      <c r="I537" s="18"/>
      <c r="J537" s="13"/>
    </row>
    <row r="538">
      <c r="D538" s="82"/>
      <c r="I538" s="18"/>
      <c r="J538" s="13"/>
    </row>
    <row r="539">
      <c r="D539" s="82"/>
      <c r="I539" s="18"/>
      <c r="J539" s="13"/>
    </row>
    <row r="540">
      <c r="D540" s="82"/>
      <c r="I540" s="18"/>
      <c r="J540" s="13"/>
    </row>
    <row r="541">
      <c r="D541" s="82"/>
      <c r="I541" s="18"/>
      <c r="J541" s="13"/>
    </row>
    <row r="542">
      <c r="D542" s="82"/>
      <c r="I542" s="18"/>
      <c r="J542" s="13"/>
    </row>
    <row r="543">
      <c r="D543" s="82"/>
      <c r="I543" s="18"/>
      <c r="J543" s="13"/>
    </row>
    <row r="544">
      <c r="D544" s="82"/>
      <c r="I544" s="18"/>
      <c r="J544" s="13"/>
    </row>
    <row r="545">
      <c r="D545" s="82"/>
      <c r="I545" s="18"/>
      <c r="J545" s="13"/>
    </row>
    <row r="546">
      <c r="D546" s="82"/>
      <c r="I546" s="18"/>
      <c r="J546" s="13"/>
    </row>
    <row r="547">
      <c r="D547" s="82"/>
      <c r="I547" s="18"/>
      <c r="J547" s="13"/>
    </row>
    <row r="548">
      <c r="D548" s="82"/>
      <c r="I548" s="18"/>
      <c r="J548" s="13"/>
    </row>
    <row r="549">
      <c r="D549" s="82"/>
      <c r="I549" s="18"/>
      <c r="J549" s="13"/>
    </row>
    <row r="550">
      <c r="D550" s="82"/>
      <c r="I550" s="18"/>
      <c r="J550" s="13"/>
    </row>
    <row r="551">
      <c r="D551" s="82"/>
      <c r="I551" s="18"/>
      <c r="J551" s="13"/>
    </row>
    <row r="552">
      <c r="D552" s="82"/>
      <c r="I552" s="18"/>
      <c r="J552" s="13"/>
    </row>
    <row r="553">
      <c r="D553" s="82"/>
      <c r="I553" s="18"/>
      <c r="J553" s="13"/>
    </row>
    <row r="554">
      <c r="D554" s="82"/>
      <c r="I554" s="18"/>
      <c r="J554" s="13"/>
    </row>
    <row r="555">
      <c r="D555" s="82"/>
      <c r="I555" s="18"/>
      <c r="J555" s="13"/>
    </row>
    <row r="556">
      <c r="D556" s="82"/>
      <c r="I556" s="18"/>
      <c r="J556" s="13"/>
    </row>
    <row r="557">
      <c r="D557" s="82"/>
      <c r="I557" s="18"/>
      <c r="J557" s="13"/>
    </row>
    <row r="558">
      <c r="D558" s="82"/>
      <c r="I558" s="18"/>
      <c r="J558" s="13"/>
    </row>
    <row r="559">
      <c r="D559" s="82"/>
      <c r="I559" s="18"/>
      <c r="J559" s="13"/>
    </row>
    <row r="560">
      <c r="D560" s="82"/>
      <c r="I560" s="18"/>
      <c r="J560" s="13"/>
    </row>
    <row r="561">
      <c r="D561" s="82"/>
      <c r="I561" s="18"/>
      <c r="J561" s="13"/>
    </row>
    <row r="562">
      <c r="D562" s="82"/>
      <c r="I562" s="18"/>
      <c r="J562" s="13"/>
    </row>
    <row r="563">
      <c r="D563" s="82"/>
      <c r="I563" s="18"/>
      <c r="J563" s="13"/>
    </row>
    <row r="564">
      <c r="D564" s="82"/>
      <c r="I564" s="18"/>
      <c r="J564" s="13"/>
    </row>
    <row r="565">
      <c r="D565" s="82"/>
      <c r="I565" s="18"/>
      <c r="J565" s="13"/>
    </row>
    <row r="566">
      <c r="D566" s="82"/>
      <c r="I566" s="18"/>
      <c r="J566" s="13"/>
    </row>
    <row r="567">
      <c r="D567" s="82"/>
      <c r="I567" s="18"/>
      <c r="J567" s="13"/>
    </row>
    <row r="568">
      <c r="D568" s="82"/>
      <c r="I568" s="18"/>
      <c r="J568" s="13"/>
    </row>
    <row r="569">
      <c r="D569" s="82"/>
      <c r="I569" s="18"/>
      <c r="J569" s="13"/>
    </row>
    <row r="570">
      <c r="D570" s="82"/>
      <c r="I570" s="18"/>
      <c r="J570" s="13"/>
    </row>
    <row r="571">
      <c r="D571" s="82"/>
      <c r="I571" s="18"/>
      <c r="J571" s="13"/>
    </row>
    <row r="572">
      <c r="D572" s="82"/>
      <c r="I572" s="18"/>
      <c r="J572" s="13"/>
    </row>
    <row r="573">
      <c r="D573" s="82"/>
      <c r="I573" s="18"/>
      <c r="J573" s="13"/>
    </row>
    <row r="574">
      <c r="D574" s="82"/>
      <c r="I574" s="18"/>
      <c r="J574" s="13"/>
    </row>
    <row r="575">
      <c r="D575" s="82"/>
      <c r="I575" s="18"/>
      <c r="J575" s="13"/>
    </row>
    <row r="576">
      <c r="D576" s="82"/>
      <c r="I576" s="18"/>
      <c r="J576" s="13"/>
    </row>
    <row r="577">
      <c r="D577" s="82"/>
      <c r="I577" s="18"/>
      <c r="J577" s="13"/>
    </row>
    <row r="578">
      <c r="D578" s="82"/>
      <c r="I578" s="18"/>
      <c r="J578" s="13"/>
    </row>
    <row r="579">
      <c r="D579" s="82"/>
      <c r="I579" s="18"/>
      <c r="J579" s="13"/>
    </row>
    <row r="580">
      <c r="D580" s="82"/>
      <c r="I580" s="18"/>
      <c r="J580" s="13"/>
    </row>
    <row r="581">
      <c r="D581" s="82"/>
      <c r="I581" s="18"/>
      <c r="J581" s="13"/>
    </row>
    <row r="582">
      <c r="D582" s="82"/>
      <c r="I582" s="18"/>
      <c r="J582" s="13"/>
    </row>
    <row r="583">
      <c r="D583" s="82"/>
      <c r="I583" s="18"/>
      <c r="J583" s="13"/>
    </row>
    <row r="584">
      <c r="D584" s="82"/>
      <c r="I584" s="18"/>
      <c r="J584" s="13"/>
    </row>
    <row r="585">
      <c r="D585" s="82"/>
      <c r="I585" s="18"/>
      <c r="J585" s="13"/>
    </row>
    <row r="586">
      <c r="D586" s="82"/>
      <c r="I586" s="18"/>
      <c r="J586" s="13"/>
    </row>
    <row r="587">
      <c r="D587" s="82"/>
      <c r="I587" s="18"/>
      <c r="J587" s="13"/>
    </row>
    <row r="588">
      <c r="D588" s="82"/>
      <c r="I588" s="18"/>
      <c r="J588" s="13"/>
    </row>
    <row r="589">
      <c r="D589" s="82"/>
      <c r="I589" s="18"/>
      <c r="J589" s="13"/>
    </row>
    <row r="590">
      <c r="D590" s="82"/>
      <c r="I590" s="18"/>
      <c r="J590" s="13"/>
    </row>
    <row r="591">
      <c r="D591" s="82"/>
      <c r="I591" s="18"/>
      <c r="J591" s="13"/>
    </row>
    <row r="592">
      <c r="D592" s="82"/>
      <c r="I592" s="18"/>
      <c r="J592" s="13"/>
    </row>
    <row r="593">
      <c r="D593" s="82"/>
      <c r="I593" s="18"/>
      <c r="J593" s="13"/>
    </row>
    <row r="594">
      <c r="D594" s="82"/>
      <c r="I594" s="18"/>
      <c r="J594" s="13"/>
    </row>
    <row r="595">
      <c r="D595" s="82"/>
      <c r="I595" s="18"/>
      <c r="J595" s="13"/>
    </row>
    <row r="596">
      <c r="D596" s="82"/>
      <c r="I596" s="18"/>
      <c r="J596" s="13"/>
    </row>
    <row r="597">
      <c r="D597" s="82"/>
      <c r="I597" s="18"/>
      <c r="J597" s="13"/>
    </row>
    <row r="598">
      <c r="D598" s="82"/>
      <c r="I598" s="18"/>
      <c r="J598" s="13"/>
    </row>
    <row r="599">
      <c r="D599" s="82"/>
      <c r="I599" s="18"/>
      <c r="J599" s="13"/>
    </row>
    <row r="600">
      <c r="D600" s="82"/>
      <c r="I600" s="18"/>
      <c r="J600" s="13"/>
    </row>
    <row r="601">
      <c r="D601" s="82"/>
      <c r="I601" s="18"/>
      <c r="J601" s="13"/>
    </row>
    <row r="602">
      <c r="D602" s="82"/>
      <c r="I602" s="18"/>
      <c r="J602" s="13"/>
    </row>
    <row r="603">
      <c r="D603" s="82"/>
      <c r="I603" s="18"/>
      <c r="J603" s="13"/>
    </row>
    <row r="604">
      <c r="D604" s="82"/>
      <c r="I604" s="18"/>
      <c r="J604" s="13"/>
    </row>
    <row r="605">
      <c r="D605" s="82"/>
      <c r="I605" s="18"/>
      <c r="J605" s="13"/>
    </row>
    <row r="606">
      <c r="D606" s="82"/>
      <c r="I606" s="18"/>
      <c r="J606" s="13"/>
    </row>
    <row r="607">
      <c r="D607" s="82"/>
      <c r="I607" s="18"/>
      <c r="J607" s="13"/>
    </row>
    <row r="608">
      <c r="D608" s="82"/>
      <c r="I608" s="18"/>
      <c r="J608" s="13"/>
    </row>
    <row r="609">
      <c r="D609" s="82"/>
      <c r="I609" s="18"/>
      <c r="J609" s="13"/>
    </row>
    <row r="610">
      <c r="D610" s="82"/>
      <c r="I610" s="18"/>
      <c r="J610" s="13"/>
    </row>
    <row r="611">
      <c r="D611" s="82"/>
      <c r="I611" s="18"/>
      <c r="J611" s="13"/>
    </row>
    <row r="612">
      <c r="D612" s="82"/>
      <c r="I612" s="18"/>
      <c r="J612" s="13"/>
    </row>
    <row r="613">
      <c r="D613" s="82"/>
      <c r="I613" s="18"/>
      <c r="J613" s="13"/>
    </row>
    <row r="614">
      <c r="D614" s="82"/>
      <c r="I614" s="18"/>
      <c r="J614" s="13"/>
    </row>
    <row r="615">
      <c r="D615" s="82"/>
      <c r="I615" s="18"/>
      <c r="J615" s="13"/>
    </row>
    <row r="616">
      <c r="D616" s="82"/>
      <c r="I616" s="18"/>
      <c r="J616" s="13"/>
    </row>
    <row r="617">
      <c r="D617" s="82"/>
      <c r="I617" s="18"/>
      <c r="J617" s="13"/>
    </row>
    <row r="618">
      <c r="D618" s="82"/>
      <c r="I618" s="18"/>
      <c r="J618" s="13"/>
    </row>
    <row r="619">
      <c r="D619" s="82"/>
      <c r="I619" s="18"/>
      <c r="J619" s="13"/>
    </row>
    <row r="620">
      <c r="D620" s="82"/>
      <c r="I620" s="18"/>
      <c r="J620" s="13"/>
    </row>
    <row r="621">
      <c r="D621" s="82"/>
      <c r="I621" s="18"/>
      <c r="J621" s="13"/>
    </row>
    <row r="622">
      <c r="D622" s="82"/>
      <c r="I622" s="18"/>
      <c r="J622" s="13"/>
    </row>
    <row r="623">
      <c r="D623" s="82"/>
      <c r="I623" s="18"/>
      <c r="J623" s="13"/>
    </row>
    <row r="624">
      <c r="D624" s="82"/>
      <c r="I624" s="18"/>
      <c r="J624" s="13"/>
    </row>
    <row r="625">
      <c r="D625" s="82"/>
      <c r="I625" s="18"/>
      <c r="J625" s="13"/>
    </row>
    <row r="626">
      <c r="D626" s="82"/>
      <c r="I626" s="18"/>
      <c r="J626" s="13"/>
    </row>
    <row r="627">
      <c r="D627" s="82"/>
      <c r="I627" s="18"/>
      <c r="J627" s="13"/>
    </row>
    <row r="628">
      <c r="D628" s="82"/>
      <c r="I628" s="18"/>
      <c r="J628" s="13"/>
    </row>
    <row r="629">
      <c r="D629" s="82"/>
      <c r="I629" s="18"/>
      <c r="J629" s="13"/>
    </row>
    <row r="630">
      <c r="D630" s="82"/>
      <c r="I630" s="18"/>
      <c r="J630" s="13"/>
    </row>
    <row r="631">
      <c r="D631" s="82"/>
      <c r="I631" s="18"/>
      <c r="J631" s="13"/>
    </row>
    <row r="632">
      <c r="D632" s="82"/>
      <c r="I632" s="18"/>
      <c r="J632" s="13"/>
    </row>
    <row r="633">
      <c r="D633" s="82"/>
      <c r="I633" s="18"/>
      <c r="J633" s="13"/>
    </row>
    <row r="634">
      <c r="D634" s="82"/>
      <c r="I634" s="18"/>
      <c r="J634" s="13"/>
    </row>
    <row r="635">
      <c r="D635" s="82"/>
      <c r="I635" s="18"/>
      <c r="J635" s="13"/>
    </row>
    <row r="636">
      <c r="D636" s="82"/>
      <c r="I636" s="18"/>
      <c r="J636" s="13"/>
    </row>
    <row r="637">
      <c r="D637" s="82"/>
      <c r="I637" s="18"/>
      <c r="J637" s="13"/>
    </row>
    <row r="638">
      <c r="D638" s="82"/>
      <c r="I638" s="18"/>
      <c r="J638" s="13"/>
    </row>
    <row r="639">
      <c r="D639" s="82"/>
      <c r="I639" s="18"/>
      <c r="J639" s="13"/>
    </row>
    <row r="640">
      <c r="D640" s="82"/>
      <c r="I640" s="18"/>
      <c r="J640" s="13"/>
    </row>
    <row r="641">
      <c r="D641" s="82"/>
      <c r="I641" s="18"/>
      <c r="J641" s="13"/>
    </row>
    <row r="642">
      <c r="D642" s="82"/>
      <c r="I642" s="18"/>
      <c r="J642" s="13"/>
    </row>
    <row r="643">
      <c r="D643" s="82"/>
      <c r="I643" s="18"/>
      <c r="J643" s="13"/>
    </row>
    <row r="644">
      <c r="D644" s="82"/>
      <c r="I644" s="18"/>
      <c r="J644" s="13"/>
    </row>
    <row r="645">
      <c r="D645" s="82"/>
      <c r="I645" s="18"/>
      <c r="J645" s="13"/>
    </row>
    <row r="646">
      <c r="D646" s="82"/>
      <c r="I646" s="18"/>
      <c r="J646" s="13"/>
    </row>
    <row r="647">
      <c r="D647" s="82"/>
      <c r="I647" s="18"/>
      <c r="J647" s="13"/>
    </row>
    <row r="648">
      <c r="D648" s="82"/>
      <c r="I648" s="18"/>
      <c r="J648" s="13"/>
    </row>
    <row r="649">
      <c r="D649" s="82"/>
      <c r="I649" s="18"/>
      <c r="J649" s="13"/>
    </row>
    <row r="650">
      <c r="D650" s="82"/>
      <c r="I650" s="18"/>
      <c r="J650" s="13"/>
    </row>
    <row r="651">
      <c r="D651" s="82"/>
      <c r="I651" s="18"/>
      <c r="J651" s="13"/>
    </row>
    <row r="652">
      <c r="D652" s="82"/>
      <c r="I652" s="18"/>
      <c r="J652" s="13"/>
    </row>
    <row r="653">
      <c r="D653" s="82"/>
      <c r="I653" s="18"/>
      <c r="J653" s="13"/>
    </row>
    <row r="654">
      <c r="D654" s="82"/>
      <c r="I654" s="18"/>
      <c r="J654" s="13"/>
    </row>
    <row r="655">
      <c r="D655" s="82"/>
      <c r="I655" s="18"/>
      <c r="J655" s="13"/>
    </row>
    <row r="656">
      <c r="D656" s="82"/>
      <c r="I656" s="18"/>
      <c r="J656" s="13"/>
    </row>
    <row r="657">
      <c r="D657" s="82"/>
      <c r="I657" s="18"/>
      <c r="J657" s="13"/>
    </row>
    <row r="658">
      <c r="D658" s="82"/>
      <c r="I658" s="18"/>
      <c r="J658" s="13"/>
    </row>
    <row r="659">
      <c r="D659" s="82"/>
      <c r="I659" s="18"/>
      <c r="J659" s="13"/>
    </row>
    <row r="660">
      <c r="D660" s="82"/>
      <c r="I660" s="18"/>
      <c r="J660" s="13"/>
    </row>
    <row r="661">
      <c r="D661" s="82"/>
      <c r="I661" s="18"/>
      <c r="J661" s="13"/>
    </row>
    <row r="662">
      <c r="D662" s="82"/>
      <c r="I662" s="18"/>
      <c r="J662" s="13"/>
    </row>
    <row r="663">
      <c r="D663" s="82"/>
      <c r="I663" s="18"/>
      <c r="J663" s="13"/>
    </row>
    <row r="664">
      <c r="D664" s="82"/>
      <c r="I664" s="18"/>
      <c r="J664" s="13"/>
    </row>
    <row r="665">
      <c r="D665" s="82"/>
      <c r="I665" s="18"/>
      <c r="J665" s="13"/>
    </row>
    <row r="666">
      <c r="D666" s="82"/>
      <c r="I666" s="18"/>
      <c r="J666" s="13"/>
    </row>
    <row r="667">
      <c r="D667" s="82"/>
      <c r="I667" s="18"/>
      <c r="J667" s="13"/>
    </row>
    <row r="668">
      <c r="D668" s="82"/>
      <c r="I668" s="18"/>
      <c r="J668" s="13"/>
    </row>
    <row r="669">
      <c r="D669" s="82"/>
      <c r="I669" s="18"/>
      <c r="J669" s="13"/>
    </row>
    <row r="670">
      <c r="D670" s="82"/>
      <c r="I670" s="18"/>
      <c r="J670" s="13"/>
    </row>
    <row r="671">
      <c r="D671" s="82"/>
      <c r="I671" s="18"/>
      <c r="J671" s="13"/>
    </row>
    <row r="672">
      <c r="D672" s="82"/>
      <c r="I672" s="18"/>
      <c r="J672" s="13"/>
    </row>
    <row r="673">
      <c r="D673" s="82"/>
      <c r="I673" s="18"/>
      <c r="J673" s="13"/>
    </row>
    <row r="674">
      <c r="D674" s="82"/>
      <c r="I674" s="18"/>
      <c r="J674" s="13"/>
    </row>
    <row r="675">
      <c r="D675" s="82"/>
      <c r="I675" s="18"/>
      <c r="J675" s="13"/>
    </row>
    <row r="676">
      <c r="D676" s="82"/>
      <c r="I676" s="18"/>
      <c r="J676" s="13"/>
    </row>
    <row r="677">
      <c r="D677" s="82"/>
      <c r="I677" s="18"/>
      <c r="J677" s="13"/>
    </row>
    <row r="678">
      <c r="D678" s="82"/>
      <c r="I678" s="18"/>
      <c r="J678" s="13"/>
    </row>
    <row r="679">
      <c r="D679" s="82"/>
      <c r="I679" s="18"/>
      <c r="J679" s="13"/>
    </row>
    <row r="680">
      <c r="D680" s="82"/>
      <c r="I680" s="18"/>
      <c r="J680" s="13"/>
    </row>
    <row r="681">
      <c r="D681" s="82"/>
      <c r="I681" s="18"/>
      <c r="J681" s="13"/>
    </row>
    <row r="682">
      <c r="D682" s="82"/>
      <c r="I682" s="18"/>
      <c r="J682" s="13"/>
    </row>
    <row r="683">
      <c r="D683" s="82"/>
      <c r="I683" s="18"/>
      <c r="J683" s="13"/>
    </row>
    <row r="684">
      <c r="D684" s="82"/>
      <c r="I684" s="18"/>
      <c r="J684" s="13"/>
    </row>
    <row r="685">
      <c r="D685" s="82"/>
      <c r="I685" s="18"/>
      <c r="J685" s="13"/>
    </row>
    <row r="686">
      <c r="D686" s="82"/>
      <c r="I686" s="18"/>
      <c r="J686" s="13"/>
    </row>
    <row r="687">
      <c r="D687" s="82"/>
      <c r="I687" s="18"/>
      <c r="J687" s="13"/>
    </row>
    <row r="688">
      <c r="D688" s="82"/>
      <c r="I688" s="18"/>
      <c r="J688" s="13"/>
    </row>
    <row r="689">
      <c r="D689" s="82"/>
      <c r="I689" s="18"/>
      <c r="J689" s="13"/>
    </row>
    <row r="690">
      <c r="D690" s="82"/>
      <c r="I690" s="18"/>
      <c r="J690" s="13"/>
    </row>
    <row r="691">
      <c r="D691" s="82"/>
      <c r="I691" s="18"/>
      <c r="J691" s="13"/>
    </row>
    <row r="692">
      <c r="D692" s="82"/>
      <c r="I692" s="18"/>
      <c r="J692" s="13"/>
    </row>
    <row r="693">
      <c r="D693" s="82"/>
      <c r="I693" s="18"/>
      <c r="J693" s="13"/>
    </row>
    <row r="694">
      <c r="D694" s="82"/>
      <c r="I694" s="18"/>
      <c r="J694" s="13"/>
    </row>
    <row r="695">
      <c r="D695" s="82"/>
      <c r="I695" s="18"/>
      <c r="J695" s="13"/>
    </row>
    <row r="696">
      <c r="D696" s="82"/>
      <c r="I696" s="18"/>
      <c r="J696" s="13"/>
    </row>
    <row r="697">
      <c r="D697" s="82"/>
      <c r="I697" s="18"/>
      <c r="J697" s="13"/>
    </row>
    <row r="698">
      <c r="D698" s="82"/>
      <c r="I698" s="18"/>
      <c r="J698" s="13"/>
    </row>
    <row r="699">
      <c r="D699" s="82"/>
      <c r="I699" s="18"/>
      <c r="J699" s="13"/>
    </row>
    <row r="700">
      <c r="D700" s="82"/>
      <c r="I700" s="18"/>
      <c r="J700" s="13"/>
    </row>
    <row r="701">
      <c r="D701" s="82"/>
      <c r="I701" s="18"/>
      <c r="J701" s="13"/>
    </row>
    <row r="702">
      <c r="D702" s="82"/>
      <c r="I702" s="18"/>
      <c r="J702" s="13"/>
    </row>
    <row r="703">
      <c r="D703" s="82"/>
      <c r="I703" s="18"/>
      <c r="J703" s="13"/>
    </row>
    <row r="704">
      <c r="D704" s="82"/>
      <c r="I704" s="18"/>
      <c r="J704" s="13"/>
    </row>
    <row r="705">
      <c r="D705" s="82"/>
      <c r="I705" s="18"/>
      <c r="J705" s="13"/>
    </row>
    <row r="706">
      <c r="D706" s="82"/>
      <c r="I706" s="18"/>
      <c r="J706" s="13"/>
    </row>
    <row r="707">
      <c r="D707" s="82"/>
      <c r="I707" s="18"/>
      <c r="J707" s="13"/>
    </row>
    <row r="708">
      <c r="D708" s="82"/>
      <c r="I708" s="18"/>
      <c r="J708" s="13"/>
    </row>
    <row r="709">
      <c r="D709" s="82"/>
      <c r="I709" s="18"/>
      <c r="J709" s="13"/>
    </row>
    <row r="710">
      <c r="D710" s="82"/>
      <c r="I710" s="18"/>
      <c r="J710" s="13"/>
    </row>
    <row r="711">
      <c r="D711" s="82"/>
      <c r="I711" s="18"/>
      <c r="J711" s="13"/>
    </row>
    <row r="712">
      <c r="D712" s="82"/>
      <c r="I712" s="18"/>
      <c r="J712" s="13"/>
    </row>
    <row r="713">
      <c r="D713" s="82"/>
      <c r="I713" s="18"/>
      <c r="J713" s="13"/>
    </row>
    <row r="714">
      <c r="D714" s="82"/>
      <c r="I714" s="18"/>
      <c r="J714" s="13"/>
    </row>
    <row r="715">
      <c r="D715" s="82"/>
      <c r="I715" s="18"/>
      <c r="J715" s="13"/>
    </row>
    <row r="716">
      <c r="D716" s="82"/>
      <c r="I716" s="18"/>
      <c r="J716" s="13"/>
    </row>
    <row r="717">
      <c r="D717" s="82"/>
      <c r="I717" s="18"/>
      <c r="J717" s="13"/>
    </row>
    <row r="718">
      <c r="D718" s="82"/>
      <c r="I718" s="18"/>
      <c r="J718" s="13"/>
    </row>
    <row r="719">
      <c r="D719" s="82"/>
      <c r="I719" s="18"/>
      <c r="J719" s="13"/>
    </row>
    <row r="720">
      <c r="D720" s="82"/>
      <c r="I720" s="18"/>
      <c r="J720" s="13"/>
    </row>
    <row r="721">
      <c r="D721" s="82"/>
      <c r="I721" s="18"/>
      <c r="J721" s="13"/>
    </row>
    <row r="722">
      <c r="D722" s="82"/>
      <c r="I722" s="18"/>
      <c r="J722" s="13"/>
    </row>
    <row r="723">
      <c r="D723" s="82"/>
      <c r="I723" s="18"/>
      <c r="J723" s="13"/>
    </row>
    <row r="724">
      <c r="D724" s="82"/>
      <c r="I724" s="18"/>
      <c r="J724" s="13"/>
    </row>
    <row r="725">
      <c r="D725" s="82"/>
      <c r="I725" s="18"/>
      <c r="J725" s="13"/>
    </row>
    <row r="726">
      <c r="D726" s="82"/>
      <c r="I726" s="18"/>
      <c r="J726" s="13"/>
    </row>
    <row r="727">
      <c r="D727" s="82"/>
      <c r="I727" s="18"/>
      <c r="J727" s="13"/>
    </row>
    <row r="728">
      <c r="D728" s="82"/>
      <c r="I728" s="18"/>
      <c r="J728" s="13"/>
    </row>
    <row r="729">
      <c r="D729" s="82"/>
      <c r="I729" s="18"/>
      <c r="J729" s="13"/>
    </row>
    <row r="730">
      <c r="D730" s="82"/>
      <c r="I730" s="18"/>
      <c r="J730" s="13"/>
    </row>
    <row r="731">
      <c r="D731" s="82"/>
      <c r="I731" s="18"/>
      <c r="J731" s="13"/>
    </row>
    <row r="732">
      <c r="D732" s="82"/>
      <c r="I732" s="18"/>
      <c r="J732" s="13"/>
    </row>
    <row r="733">
      <c r="D733" s="82"/>
      <c r="I733" s="18"/>
      <c r="J733" s="13"/>
    </row>
    <row r="734">
      <c r="D734" s="82"/>
      <c r="I734" s="18"/>
      <c r="J734" s="13"/>
    </row>
    <row r="735">
      <c r="D735" s="82"/>
      <c r="I735" s="18"/>
      <c r="J735" s="13"/>
    </row>
    <row r="736">
      <c r="D736" s="82"/>
      <c r="I736" s="18"/>
      <c r="J736" s="13"/>
    </row>
    <row r="737">
      <c r="D737" s="82"/>
      <c r="I737" s="18"/>
      <c r="J737" s="13"/>
    </row>
    <row r="738">
      <c r="D738" s="82"/>
      <c r="I738" s="18"/>
      <c r="J738" s="13"/>
    </row>
    <row r="739">
      <c r="D739" s="82"/>
      <c r="I739" s="18"/>
      <c r="J739" s="13"/>
    </row>
    <row r="740">
      <c r="D740" s="82"/>
      <c r="I740" s="18"/>
      <c r="J740" s="13"/>
    </row>
    <row r="741">
      <c r="D741" s="82"/>
      <c r="I741" s="18"/>
      <c r="J741" s="13"/>
    </row>
    <row r="742">
      <c r="D742" s="82"/>
      <c r="I742" s="18"/>
      <c r="J742" s="13"/>
    </row>
    <row r="743">
      <c r="D743" s="82"/>
      <c r="I743" s="18"/>
      <c r="J743" s="13"/>
    </row>
    <row r="744">
      <c r="D744" s="82"/>
      <c r="I744" s="18"/>
      <c r="J744" s="13"/>
    </row>
    <row r="745">
      <c r="D745" s="82"/>
      <c r="I745" s="18"/>
      <c r="J745" s="13"/>
    </row>
    <row r="746">
      <c r="D746" s="82"/>
      <c r="I746" s="18"/>
      <c r="J746" s="13"/>
    </row>
    <row r="747">
      <c r="D747" s="82"/>
      <c r="I747" s="18"/>
      <c r="J747" s="13"/>
    </row>
    <row r="748">
      <c r="D748" s="82"/>
      <c r="I748" s="18"/>
      <c r="J748" s="13"/>
    </row>
    <row r="749">
      <c r="D749" s="82"/>
      <c r="I749" s="18"/>
      <c r="J749" s="13"/>
    </row>
    <row r="750">
      <c r="D750" s="82"/>
      <c r="I750" s="18"/>
      <c r="J750" s="13"/>
    </row>
    <row r="751">
      <c r="D751" s="82"/>
      <c r="I751" s="18"/>
      <c r="J751" s="13"/>
    </row>
    <row r="752">
      <c r="D752" s="82"/>
      <c r="I752" s="18"/>
      <c r="J752" s="13"/>
    </row>
    <row r="753">
      <c r="D753" s="82"/>
      <c r="I753" s="18"/>
      <c r="J753" s="13"/>
    </row>
    <row r="754">
      <c r="D754" s="82"/>
      <c r="I754" s="18"/>
      <c r="J754" s="13"/>
    </row>
    <row r="755">
      <c r="D755" s="82"/>
      <c r="I755" s="18"/>
      <c r="J755" s="13"/>
    </row>
    <row r="756">
      <c r="D756" s="82"/>
      <c r="I756" s="18"/>
      <c r="J756" s="13"/>
    </row>
    <row r="757">
      <c r="D757" s="82"/>
      <c r="I757" s="18"/>
      <c r="J757" s="13"/>
    </row>
    <row r="758">
      <c r="D758" s="82"/>
      <c r="I758" s="18"/>
      <c r="J758" s="13"/>
    </row>
    <row r="759">
      <c r="D759" s="82"/>
      <c r="I759" s="18"/>
      <c r="J759" s="13"/>
    </row>
    <row r="760">
      <c r="D760" s="82"/>
      <c r="I760" s="18"/>
      <c r="J760" s="13"/>
    </row>
    <row r="761">
      <c r="D761" s="82"/>
      <c r="I761" s="18"/>
      <c r="J761" s="13"/>
    </row>
    <row r="762">
      <c r="D762" s="82"/>
      <c r="I762" s="18"/>
      <c r="J762" s="13"/>
    </row>
    <row r="763">
      <c r="D763" s="82"/>
      <c r="I763" s="18"/>
      <c r="J763" s="13"/>
    </row>
    <row r="764">
      <c r="D764" s="82"/>
      <c r="I764" s="18"/>
      <c r="J764" s="13"/>
    </row>
    <row r="765">
      <c r="D765" s="82"/>
      <c r="I765" s="18"/>
      <c r="J765" s="13"/>
    </row>
    <row r="766">
      <c r="D766" s="82"/>
      <c r="I766" s="18"/>
      <c r="J766" s="13"/>
    </row>
    <row r="767">
      <c r="D767" s="82"/>
      <c r="I767" s="18"/>
      <c r="J767" s="13"/>
    </row>
    <row r="768">
      <c r="D768" s="82"/>
      <c r="I768" s="18"/>
      <c r="J768" s="13"/>
    </row>
    <row r="769">
      <c r="D769" s="82"/>
      <c r="I769" s="18"/>
      <c r="J769" s="13"/>
    </row>
    <row r="770">
      <c r="D770" s="82"/>
      <c r="I770" s="18"/>
      <c r="J770" s="13"/>
    </row>
    <row r="771">
      <c r="D771" s="82"/>
      <c r="I771" s="18"/>
      <c r="J771" s="13"/>
    </row>
    <row r="772">
      <c r="D772" s="82"/>
      <c r="I772" s="18"/>
      <c r="J772" s="13"/>
    </row>
    <row r="773">
      <c r="D773" s="82"/>
      <c r="I773" s="18"/>
      <c r="J773" s="13"/>
    </row>
    <row r="774">
      <c r="D774" s="82"/>
      <c r="I774" s="18"/>
      <c r="J774" s="13"/>
    </row>
    <row r="775">
      <c r="D775" s="82"/>
      <c r="I775" s="18"/>
      <c r="J775" s="13"/>
    </row>
    <row r="776">
      <c r="D776" s="82"/>
      <c r="I776" s="18"/>
      <c r="J776" s="13"/>
    </row>
    <row r="777">
      <c r="D777" s="82"/>
      <c r="I777" s="18"/>
      <c r="J777" s="13"/>
    </row>
    <row r="778">
      <c r="D778" s="82"/>
      <c r="I778" s="18"/>
      <c r="J778" s="13"/>
    </row>
    <row r="779">
      <c r="D779" s="82"/>
      <c r="I779" s="18"/>
      <c r="J779" s="13"/>
    </row>
    <row r="780">
      <c r="D780" s="82"/>
      <c r="I780" s="18"/>
      <c r="J780" s="13"/>
    </row>
    <row r="781">
      <c r="D781" s="82"/>
      <c r="I781" s="18"/>
      <c r="J781" s="13"/>
    </row>
    <row r="782">
      <c r="D782" s="82"/>
      <c r="I782" s="18"/>
      <c r="J782" s="13"/>
    </row>
    <row r="783">
      <c r="D783" s="82"/>
      <c r="I783" s="18"/>
      <c r="J783" s="13"/>
    </row>
    <row r="784">
      <c r="D784" s="82"/>
      <c r="I784" s="18"/>
      <c r="J784" s="13"/>
    </row>
    <row r="785">
      <c r="D785" s="82"/>
      <c r="I785" s="18"/>
      <c r="J785" s="13"/>
    </row>
    <row r="786">
      <c r="D786" s="82"/>
      <c r="I786" s="18"/>
      <c r="J786" s="13"/>
    </row>
    <row r="787">
      <c r="D787" s="82"/>
      <c r="I787" s="18"/>
      <c r="J787" s="13"/>
    </row>
    <row r="788">
      <c r="D788" s="82"/>
      <c r="I788" s="18"/>
      <c r="J788" s="13"/>
    </row>
    <row r="789">
      <c r="D789" s="82"/>
      <c r="I789" s="18"/>
      <c r="J789" s="13"/>
    </row>
    <row r="790">
      <c r="D790" s="82"/>
      <c r="I790" s="18"/>
      <c r="J790" s="13"/>
    </row>
    <row r="791">
      <c r="D791" s="82"/>
      <c r="I791" s="18"/>
      <c r="J791" s="13"/>
    </row>
    <row r="792">
      <c r="D792" s="82"/>
      <c r="I792" s="18"/>
      <c r="J792" s="13"/>
    </row>
    <row r="793">
      <c r="D793" s="82"/>
      <c r="I793" s="18"/>
      <c r="J793" s="13"/>
    </row>
    <row r="794">
      <c r="D794" s="82"/>
      <c r="I794" s="18"/>
      <c r="J794" s="13"/>
    </row>
    <row r="795">
      <c r="D795" s="82"/>
      <c r="I795" s="18"/>
      <c r="J795" s="13"/>
    </row>
    <row r="796">
      <c r="D796" s="82"/>
      <c r="I796" s="18"/>
      <c r="J796" s="13"/>
    </row>
    <row r="797">
      <c r="D797" s="82"/>
      <c r="I797" s="18"/>
      <c r="J797" s="13"/>
    </row>
    <row r="798">
      <c r="D798" s="82"/>
      <c r="I798" s="18"/>
      <c r="J798" s="13"/>
    </row>
    <row r="799">
      <c r="D799" s="82"/>
      <c r="I799" s="18"/>
      <c r="J799" s="13"/>
    </row>
    <row r="800">
      <c r="D800" s="82"/>
      <c r="I800" s="18"/>
      <c r="J800" s="13"/>
    </row>
    <row r="801">
      <c r="D801" s="82"/>
      <c r="I801" s="18"/>
      <c r="J801" s="13"/>
    </row>
    <row r="802">
      <c r="D802" s="82"/>
      <c r="I802" s="18"/>
      <c r="J802" s="13"/>
    </row>
    <row r="803">
      <c r="D803" s="82"/>
      <c r="I803" s="18"/>
      <c r="J803" s="13"/>
    </row>
    <row r="804">
      <c r="D804" s="82"/>
      <c r="I804" s="18"/>
      <c r="J804" s="13"/>
    </row>
    <row r="805">
      <c r="D805" s="82"/>
      <c r="I805" s="18"/>
      <c r="J805" s="13"/>
    </row>
    <row r="806">
      <c r="D806" s="82"/>
      <c r="I806" s="18"/>
      <c r="J806" s="13"/>
    </row>
    <row r="807">
      <c r="D807" s="82"/>
      <c r="I807" s="18"/>
      <c r="J807" s="13"/>
    </row>
    <row r="808">
      <c r="D808" s="82"/>
      <c r="I808" s="18"/>
      <c r="J808" s="13"/>
    </row>
    <row r="809">
      <c r="D809" s="82"/>
      <c r="I809" s="18"/>
      <c r="J809" s="13"/>
    </row>
    <row r="810">
      <c r="D810" s="82"/>
      <c r="I810" s="18"/>
      <c r="J810" s="13"/>
    </row>
    <row r="811">
      <c r="D811" s="82"/>
      <c r="I811" s="18"/>
      <c r="J811" s="13"/>
    </row>
    <row r="812">
      <c r="D812" s="82"/>
      <c r="I812" s="18"/>
      <c r="J812" s="13"/>
    </row>
    <row r="813">
      <c r="D813" s="82"/>
      <c r="I813" s="18"/>
      <c r="J813" s="13"/>
    </row>
    <row r="814">
      <c r="D814" s="82"/>
      <c r="I814" s="18"/>
      <c r="J814" s="13"/>
    </row>
    <row r="815">
      <c r="D815" s="82"/>
      <c r="I815" s="18"/>
      <c r="J815" s="13"/>
    </row>
    <row r="816">
      <c r="D816" s="82"/>
      <c r="I816" s="18"/>
      <c r="J816" s="13"/>
    </row>
    <row r="817">
      <c r="D817" s="82"/>
      <c r="I817" s="18"/>
      <c r="J817" s="13"/>
    </row>
    <row r="818">
      <c r="D818" s="82"/>
      <c r="I818" s="18"/>
      <c r="J818" s="13"/>
    </row>
    <row r="819">
      <c r="D819" s="82"/>
      <c r="I819" s="18"/>
      <c r="J819" s="13"/>
    </row>
    <row r="820">
      <c r="D820" s="82"/>
      <c r="I820" s="18"/>
      <c r="J820" s="13"/>
    </row>
    <row r="821">
      <c r="D821" s="82"/>
      <c r="I821" s="18"/>
      <c r="J821" s="13"/>
    </row>
    <row r="822">
      <c r="D822" s="82"/>
      <c r="I822" s="18"/>
      <c r="J822" s="13"/>
    </row>
    <row r="823">
      <c r="D823" s="82"/>
      <c r="I823" s="18"/>
      <c r="J823" s="13"/>
    </row>
    <row r="824">
      <c r="D824" s="82"/>
      <c r="I824" s="18"/>
      <c r="J824" s="13"/>
    </row>
    <row r="825">
      <c r="D825" s="82"/>
      <c r="I825" s="18"/>
      <c r="J825" s="13"/>
    </row>
    <row r="826">
      <c r="D826" s="82"/>
      <c r="I826" s="18"/>
      <c r="J826" s="13"/>
    </row>
    <row r="827">
      <c r="D827" s="82"/>
      <c r="I827" s="18"/>
      <c r="J827" s="13"/>
    </row>
    <row r="828">
      <c r="D828" s="82"/>
      <c r="I828" s="18"/>
      <c r="J828" s="13"/>
    </row>
    <row r="829">
      <c r="D829" s="82"/>
      <c r="I829" s="18"/>
      <c r="J829" s="13"/>
    </row>
    <row r="830">
      <c r="D830" s="82"/>
      <c r="I830" s="18"/>
      <c r="J830" s="13"/>
    </row>
    <row r="831">
      <c r="D831" s="82"/>
      <c r="I831" s="18"/>
      <c r="J831" s="13"/>
    </row>
    <row r="832">
      <c r="D832" s="82"/>
      <c r="I832" s="18"/>
      <c r="J832" s="13"/>
    </row>
    <row r="833">
      <c r="D833" s="82"/>
      <c r="I833" s="18"/>
      <c r="J833" s="13"/>
    </row>
    <row r="834">
      <c r="D834" s="82"/>
      <c r="I834" s="18"/>
      <c r="J834" s="13"/>
    </row>
    <row r="835">
      <c r="D835" s="82"/>
      <c r="I835" s="18"/>
      <c r="J835" s="13"/>
    </row>
    <row r="836">
      <c r="D836" s="82"/>
      <c r="I836" s="18"/>
      <c r="J836" s="13"/>
    </row>
    <row r="837">
      <c r="D837" s="82"/>
      <c r="I837" s="18"/>
      <c r="J837" s="13"/>
    </row>
    <row r="838">
      <c r="D838" s="82"/>
      <c r="I838" s="18"/>
      <c r="J838" s="13"/>
    </row>
    <row r="839">
      <c r="D839" s="82"/>
      <c r="I839" s="18"/>
      <c r="J839" s="13"/>
    </row>
    <row r="840">
      <c r="D840" s="82"/>
      <c r="I840" s="18"/>
      <c r="J840" s="13"/>
    </row>
    <row r="841">
      <c r="D841" s="82"/>
      <c r="I841" s="18"/>
      <c r="J841" s="13"/>
    </row>
    <row r="842">
      <c r="D842" s="82"/>
      <c r="I842" s="18"/>
      <c r="J842" s="13"/>
    </row>
    <row r="843">
      <c r="D843" s="82"/>
      <c r="I843" s="18"/>
      <c r="J843" s="13"/>
    </row>
    <row r="844">
      <c r="D844" s="82"/>
      <c r="I844" s="18"/>
      <c r="J844" s="13"/>
    </row>
    <row r="845">
      <c r="D845" s="82"/>
      <c r="I845" s="18"/>
      <c r="J845" s="13"/>
    </row>
    <row r="846">
      <c r="D846" s="82"/>
      <c r="I846" s="18"/>
      <c r="J846" s="13"/>
    </row>
    <row r="847">
      <c r="D847" s="82"/>
      <c r="I847" s="18"/>
      <c r="J847" s="13"/>
    </row>
    <row r="848">
      <c r="D848" s="82"/>
      <c r="I848" s="18"/>
      <c r="J848" s="13"/>
    </row>
    <row r="849">
      <c r="D849" s="82"/>
      <c r="I849" s="18"/>
      <c r="J849" s="13"/>
    </row>
    <row r="850">
      <c r="D850" s="82"/>
      <c r="I850" s="18"/>
      <c r="J850" s="13"/>
    </row>
    <row r="851">
      <c r="D851" s="82"/>
      <c r="I851" s="18"/>
      <c r="J851" s="13"/>
    </row>
    <row r="852">
      <c r="D852" s="82"/>
      <c r="I852" s="18"/>
      <c r="J852" s="13"/>
    </row>
    <row r="853">
      <c r="D853" s="82"/>
      <c r="I853" s="18"/>
      <c r="J853" s="13"/>
    </row>
    <row r="854">
      <c r="D854" s="82"/>
      <c r="I854" s="18"/>
      <c r="J854" s="13"/>
    </row>
    <row r="855">
      <c r="D855" s="82"/>
      <c r="I855" s="18"/>
      <c r="J855" s="13"/>
    </row>
    <row r="856">
      <c r="D856" s="82"/>
      <c r="I856" s="18"/>
      <c r="J856" s="13"/>
    </row>
    <row r="857">
      <c r="D857" s="82"/>
      <c r="I857" s="18"/>
      <c r="J857" s="13"/>
    </row>
    <row r="858">
      <c r="D858" s="82"/>
      <c r="I858" s="18"/>
      <c r="J858" s="13"/>
    </row>
    <row r="859">
      <c r="D859" s="82"/>
      <c r="I859" s="18"/>
      <c r="J859" s="13"/>
    </row>
    <row r="860">
      <c r="D860" s="82"/>
      <c r="I860" s="18"/>
      <c r="J860" s="13"/>
    </row>
    <row r="861">
      <c r="D861" s="82"/>
      <c r="I861" s="18"/>
      <c r="J861" s="13"/>
    </row>
    <row r="862">
      <c r="D862" s="82"/>
      <c r="I862" s="18"/>
      <c r="J862" s="13"/>
    </row>
    <row r="863">
      <c r="D863" s="82"/>
      <c r="I863" s="18"/>
      <c r="J863" s="13"/>
    </row>
    <row r="864">
      <c r="D864" s="82"/>
      <c r="I864" s="18"/>
      <c r="J864" s="13"/>
    </row>
    <row r="865">
      <c r="D865" s="82"/>
      <c r="I865" s="18"/>
      <c r="J865" s="13"/>
    </row>
    <row r="866">
      <c r="D866" s="82"/>
      <c r="I866" s="18"/>
      <c r="J866" s="13"/>
    </row>
    <row r="867">
      <c r="D867" s="82"/>
      <c r="I867" s="18"/>
      <c r="J867" s="13"/>
    </row>
    <row r="868">
      <c r="D868" s="82"/>
      <c r="I868" s="18"/>
      <c r="J868" s="13"/>
    </row>
    <row r="869">
      <c r="D869" s="82"/>
      <c r="I869" s="18"/>
      <c r="J869" s="13"/>
    </row>
    <row r="870">
      <c r="D870" s="82"/>
      <c r="I870" s="18"/>
      <c r="J870" s="13"/>
    </row>
    <row r="871">
      <c r="D871" s="82"/>
      <c r="I871" s="18"/>
      <c r="J871" s="13"/>
    </row>
    <row r="872">
      <c r="D872" s="82"/>
      <c r="I872" s="18"/>
      <c r="J872" s="13"/>
    </row>
    <row r="873">
      <c r="D873" s="82"/>
      <c r="I873" s="18"/>
      <c r="J873" s="13"/>
    </row>
    <row r="874">
      <c r="D874" s="82"/>
      <c r="I874" s="18"/>
      <c r="J874" s="13"/>
    </row>
    <row r="875">
      <c r="D875" s="82"/>
      <c r="I875" s="18"/>
      <c r="J875" s="13"/>
    </row>
    <row r="876">
      <c r="D876" s="82"/>
      <c r="I876" s="18"/>
      <c r="J876" s="13"/>
    </row>
    <row r="877">
      <c r="D877" s="82"/>
      <c r="I877" s="18"/>
      <c r="J877" s="13"/>
    </row>
    <row r="878">
      <c r="D878" s="82"/>
      <c r="I878" s="18"/>
      <c r="J878" s="13"/>
    </row>
    <row r="879">
      <c r="D879" s="82"/>
      <c r="I879" s="18"/>
      <c r="J879" s="13"/>
    </row>
    <row r="880">
      <c r="D880" s="82"/>
      <c r="I880" s="18"/>
      <c r="J880" s="13"/>
    </row>
    <row r="881">
      <c r="D881" s="82"/>
      <c r="I881" s="18"/>
      <c r="J881" s="13"/>
    </row>
    <row r="882">
      <c r="D882" s="82"/>
      <c r="I882" s="18"/>
      <c r="J882" s="13"/>
    </row>
    <row r="883">
      <c r="D883" s="82"/>
      <c r="I883" s="18"/>
      <c r="J883" s="13"/>
    </row>
    <row r="884">
      <c r="D884" s="82"/>
      <c r="I884" s="18"/>
      <c r="J884" s="13"/>
    </row>
    <row r="885">
      <c r="D885" s="82"/>
      <c r="I885" s="18"/>
      <c r="J885" s="13"/>
    </row>
    <row r="886">
      <c r="D886" s="82"/>
      <c r="I886" s="18"/>
      <c r="J886" s="13"/>
    </row>
    <row r="887">
      <c r="D887" s="82"/>
      <c r="I887" s="18"/>
      <c r="J887" s="13"/>
    </row>
    <row r="888">
      <c r="D888" s="82"/>
      <c r="I888" s="18"/>
      <c r="J888" s="13"/>
    </row>
    <row r="889">
      <c r="D889" s="82"/>
      <c r="I889" s="18"/>
      <c r="J889" s="13"/>
    </row>
    <row r="890">
      <c r="D890" s="82"/>
      <c r="I890" s="18"/>
      <c r="J890" s="13"/>
    </row>
    <row r="891">
      <c r="D891" s="82"/>
      <c r="I891" s="18"/>
      <c r="J891" s="13"/>
    </row>
    <row r="892">
      <c r="D892" s="82"/>
      <c r="I892" s="18"/>
      <c r="J892" s="13"/>
    </row>
    <row r="893">
      <c r="D893" s="82"/>
      <c r="I893" s="18"/>
      <c r="J893" s="13"/>
    </row>
    <row r="894">
      <c r="D894" s="82"/>
      <c r="I894" s="18"/>
      <c r="J894" s="13"/>
    </row>
    <row r="895">
      <c r="D895" s="82"/>
      <c r="I895" s="18"/>
      <c r="J895" s="13"/>
    </row>
    <row r="896">
      <c r="D896" s="82"/>
      <c r="I896" s="18"/>
      <c r="J896" s="13"/>
    </row>
    <row r="897">
      <c r="D897" s="82"/>
      <c r="I897" s="18"/>
      <c r="J897" s="13"/>
    </row>
    <row r="898">
      <c r="D898" s="82"/>
      <c r="I898" s="18"/>
      <c r="J898" s="13"/>
    </row>
    <row r="899">
      <c r="D899" s="82"/>
      <c r="I899" s="18"/>
      <c r="J899" s="13"/>
    </row>
    <row r="900">
      <c r="D900" s="82"/>
      <c r="I900" s="18"/>
      <c r="J900" s="13"/>
    </row>
    <row r="901">
      <c r="D901" s="82"/>
      <c r="I901" s="18"/>
      <c r="J901" s="13"/>
    </row>
    <row r="902">
      <c r="D902" s="82"/>
      <c r="I902" s="18"/>
      <c r="J902" s="13"/>
    </row>
    <row r="903">
      <c r="D903" s="82"/>
      <c r="I903" s="18"/>
      <c r="J903" s="13"/>
    </row>
    <row r="904">
      <c r="D904" s="82"/>
      <c r="I904" s="18"/>
      <c r="J904" s="13"/>
    </row>
    <row r="905">
      <c r="D905" s="82"/>
      <c r="I905" s="18"/>
      <c r="J905" s="13"/>
    </row>
    <row r="906">
      <c r="D906" s="82"/>
      <c r="I906" s="18"/>
      <c r="J906" s="13"/>
    </row>
    <row r="907">
      <c r="D907" s="82"/>
      <c r="I907" s="18"/>
      <c r="J907" s="13"/>
    </row>
    <row r="908">
      <c r="D908" s="82"/>
      <c r="I908" s="18"/>
      <c r="J908" s="13"/>
    </row>
    <row r="909">
      <c r="D909" s="82"/>
      <c r="I909" s="18"/>
      <c r="J909" s="13"/>
    </row>
    <row r="910">
      <c r="D910" s="82"/>
      <c r="I910" s="18"/>
      <c r="J910" s="13"/>
    </row>
    <row r="911">
      <c r="D911" s="82"/>
      <c r="I911" s="18"/>
      <c r="J911" s="13"/>
    </row>
    <row r="912">
      <c r="D912" s="82"/>
      <c r="I912" s="18"/>
      <c r="J912" s="13"/>
    </row>
    <row r="913">
      <c r="D913" s="82"/>
      <c r="I913" s="18"/>
      <c r="J913" s="13"/>
    </row>
    <row r="914">
      <c r="D914" s="82"/>
      <c r="I914" s="18"/>
      <c r="J914" s="13"/>
    </row>
    <row r="915">
      <c r="D915" s="82"/>
      <c r="I915" s="18"/>
      <c r="J915" s="13"/>
    </row>
    <row r="916">
      <c r="D916" s="82"/>
      <c r="I916" s="18"/>
      <c r="J916" s="13"/>
    </row>
    <row r="917">
      <c r="D917" s="82"/>
      <c r="I917" s="18"/>
      <c r="J917" s="13"/>
    </row>
    <row r="918">
      <c r="D918" s="82"/>
      <c r="I918" s="18"/>
      <c r="J918" s="13"/>
    </row>
    <row r="919">
      <c r="D919" s="82"/>
      <c r="I919" s="18"/>
      <c r="J919" s="13"/>
    </row>
    <row r="920">
      <c r="D920" s="82"/>
      <c r="I920" s="18"/>
      <c r="J920" s="13"/>
    </row>
    <row r="921">
      <c r="D921" s="82"/>
      <c r="I921" s="18"/>
      <c r="J921" s="13"/>
    </row>
    <row r="922">
      <c r="D922" s="82"/>
      <c r="I922" s="18"/>
      <c r="J922" s="13"/>
    </row>
    <row r="923">
      <c r="D923" s="82"/>
      <c r="I923" s="18"/>
      <c r="J923" s="13"/>
    </row>
    <row r="924">
      <c r="D924" s="82"/>
      <c r="I924" s="18"/>
      <c r="J924" s="13"/>
    </row>
    <row r="925">
      <c r="D925" s="82"/>
      <c r="I925" s="18"/>
      <c r="J925" s="13"/>
    </row>
    <row r="926">
      <c r="D926" s="82"/>
      <c r="I926" s="18"/>
      <c r="J926" s="13"/>
    </row>
    <row r="927">
      <c r="D927" s="82"/>
      <c r="I927" s="18"/>
      <c r="J927" s="13"/>
    </row>
    <row r="928">
      <c r="D928" s="82"/>
      <c r="I928" s="18"/>
      <c r="J928" s="13"/>
    </row>
    <row r="929">
      <c r="D929" s="82"/>
      <c r="I929" s="18"/>
      <c r="J929" s="13"/>
    </row>
    <row r="930">
      <c r="D930" s="82"/>
      <c r="I930" s="18"/>
      <c r="J930" s="13"/>
    </row>
    <row r="931">
      <c r="D931" s="82"/>
      <c r="I931" s="18"/>
      <c r="J931" s="13"/>
    </row>
    <row r="932">
      <c r="D932" s="82"/>
      <c r="I932" s="18"/>
      <c r="J932" s="13"/>
    </row>
    <row r="933">
      <c r="D933" s="82"/>
      <c r="I933" s="18"/>
      <c r="J933" s="13"/>
    </row>
    <row r="934">
      <c r="D934" s="82"/>
      <c r="I934" s="18"/>
      <c r="J934" s="13"/>
    </row>
    <row r="935">
      <c r="D935" s="82"/>
      <c r="I935" s="18"/>
      <c r="J935" s="13"/>
    </row>
    <row r="936">
      <c r="D936" s="82"/>
      <c r="I936" s="18"/>
      <c r="J936" s="13"/>
    </row>
    <row r="937">
      <c r="D937" s="82"/>
      <c r="I937" s="18"/>
      <c r="J937" s="13"/>
    </row>
    <row r="938">
      <c r="D938" s="82"/>
      <c r="I938" s="18"/>
      <c r="J938" s="13"/>
    </row>
    <row r="939">
      <c r="D939" s="82"/>
      <c r="I939" s="18"/>
      <c r="J939" s="13"/>
    </row>
    <row r="940">
      <c r="D940" s="82"/>
      <c r="I940" s="18"/>
      <c r="J940" s="13"/>
    </row>
    <row r="941">
      <c r="D941" s="82"/>
      <c r="I941" s="18"/>
      <c r="J941" s="13"/>
    </row>
    <row r="942">
      <c r="D942" s="82"/>
      <c r="I942" s="18"/>
      <c r="J942" s="13"/>
    </row>
    <row r="943">
      <c r="D943" s="82"/>
      <c r="I943" s="18"/>
      <c r="J943" s="13"/>
    </row>
    <row r="944">
      <c r="D944" s="82"/>
      <c r="I944" s="18"/>
      <c r="J944" s="13"/>
    </row>
    <row r="945">
      <c r="D945" s="82"/>
      <c r="I945" s="18"/>
      <c r="J945" s="13"/>
    </row>
    <row r="946">
      <c r="D946" s="82"/>
      <c r="I946" s="18"/>
      <c r="J946" s="13"/>
    </row>
    <row r="947">
      <c r="D947" s="82"/>
      <c r="I947" s="18"/>
      <c r="J947" s="13"/>
    </row>
    <row r="948">
      <c r="D948" s="82"/>
      <c r="I948" s="18"/>
      <c r="J948" s="13"/>
    </row>
    <row r="949">
      <c r="D949" s="82"/>
      <c r="I949" s="18"/>
      <c r="J949" s="13"/>
    </row>
    <row r="950">
      <c r="D950" s="82"/>
      <c r="I950" s="18"/>
      <c r="J950" s="13"/>
    </row>
    <row r="951">
      <c r="D951" s="82"/>
      <c r="I951" s="18"/>
      <c r="J951" s="13"/>
    </row>
    <row r="952">
      <c r="D952" s="82"/>
      <c r="I952" s="18"/>
      <c r="J952" s="13"/>
    </row>
    <row r="953">
      <c r="D953" s="82"/>
      <c r="I953" s="18"/>
      <c r="J953" s="13"/>
    </row>
    <row r="954">
      <c r="D954" s="82"/>
      <c r="I954" s="18"/>
      <c r="J954" s="13"/>
    </row>
    <row r="955">
      <c r="D955" s="82"/>
      <c r="I955" s="18"/>
      <c r="J955" s="13"/>
    </row>
    <row r="956">
      <c r="D956" s="82"/>
      <c r="I956" s="18"/>
      <c r="J956" s="13"/>
    </row>
    <row r="957">
      <c r="D957" s="82"/>
      <c r="I957" s="18"/>
      <c r="J957" s="13"/>
    </row>
    <row r="958">
      <c r="D958" s="82"/>
      <c r="I958" s="18"/>
      <c r="J958" s="13"/>
    </row>
    <row r="959">
      <c r="D959" s="82"/>
      <c r="I959" s="18"/>
      <c r="J959" s="13"/>
    </row>
    <row r="960">
      <c r="D960" s="82"/>
      <c r="I960" s="18"/>
      <c r="J960" s="13"/>
    </row>
    <row r="961">
      <c r="D961" s="82"/>
      <c r="I961" s="18"/>
      <c r="J961" s="13"/>
    </row>
    <row r="962">
      <c r="D962" s="82"/>
      <c r="I962" s="18"/>
      <c r="J962" s="13"/>
    </row>
    <row r="963">
      <c r="D963" s="82"/>
      <c r="I963" s="18"/>
      <c r="J963" s="13"/>
    </row>
    <row r="964">
      <c r="D964" s="82"/>
      <c r="I964" s="18"/>
      <c r="J964" s="13"/>
    </row>
    <row r="965">
      <c r="D965" s="82"/>
      <c r="I965" s="18"/>
      <c r="J965" s="13"/>
    </row>
    <row r="966">
      <c r="D966" s="82"/>
      <c r="I966" s="18"/>
      <c r="J966" s="13"/>
    </row>
    <row r="967">
      <c r="D967" s="82"/>
      <c r="I967" s="18"/>
      <c r="J967" s="13"/>
    </row>
    <row r="968">
      <c r="D968" s="82"/>
      <c r="I968" s="18"/>
      <c r="J968" s="13"/>
    </row>
    <row r="969">
      <c r="D969" s="82"/>
      <c r="I969" s="18"/>
      <c r="J969" s="13"/>
    </row>
    <row r="970">
      <c r="D970" s="82"/>
      <c r="I970" s="18"/>
      <c r="J970" s="13"/>
    </row>
    <row r="971">
      <c r="D971" s="82"/>
      <c r="I971" s="18"/>
      <c r="J971" s="13"/>
    </row>
    <row r="972">
      <c r="D972" s="82"/>
      <c r="I972" s="18"/>
      <c r="J972" s="13"/>
    </row>
    <row r="973">
      <c r="D973" s="82"/>
      <c r="I973" s="18"/>
      <c r="J973" s="13"/>
    </row>
    <row r="974">
      <c r="D974" s="82"/>
      <c r="I974" s="18"/>
      <c r="J974" s="13"/>
    </row>
    <row r="975">
      <c r="D975" s="82"/>
      <c r="I975" s="18"/>
      <c r="J975" s="13"/>
    </row>
    <row r="976">
      <c r="D976" s="82"/>
      <c r="I976" s="18"/>
      <c r="J976" s="13"/>
    </row>
    <row r="977">
      <c r="D977" s="82"/>
      <c r="I977" s="18"/>
      <c r="J977" s="13"/>
    </row>
    <row r="978">
      <c r="D978" s="82"/>
      <c r="I978" s="18"/>
      <c r="J978" s="13"/>
    </row>
    <row r="979">
      <c r="D979" s="82"/>
      <c r="I979" s="18"/>
      <c r="J979" s="13"/>
    </row>
    <row r="980">
      <c r="D980" s="82"/>
      <c r="I980" s="18"/>
      <c r="J980" s="13"/>
    </row>
    <row r="981">
      <c r="D981" s="82"/>
      <c r="I981" s="18"/>
      <c r="J981" s="13"/>
    </row>
    <row r="982">
      <c r="D982" s="82"/>
      <c r="I982" s="18"/>
      <c r="J982" s="13"/>
    </row>
    <row r="983">
      <c r="D983" s="82"/>
      <c r="I983" s="18"/>
      <c r="J983" s="13"/>
    </row>
    <row r="984">
      <c r="D984" s="82"/>
      <c r="I984" s="18"/>
      <c r="J984" s="13"/>
    </row>
    <row r="985">
      <c r="D985" s="82"/>
      <c r="I985" s="18"/>
      <c r="J985" s="13"/>
    </row>
    <row r="986">
      <c r="D986" s="82"/>
      <c r="I986" s="18"/>
      <c r="J986" s="13"/>
    </row>
    <row r="987">
      <c r="D987" s="82"/>
      <c r="I987" s="18"/>
      <c r="J987" s="13"/>
    </row>
    <row r="988">
      <c r="D988" s="82"/>
      <c r="I988" s="18"/>
      <c r="J988" s="13"/>
    </row>
    <row r="989">
      <c r="D989" s="82"/>
      <c r="I989" s="18"/>
      <c r="J989" s="13"/>
    </row>
    <row r="990">
      <c r="D990" s="82"/>
      <c r="I990" s="18"/>
      <c r="J990" s="13"/>
    </row>
    <row r="991">
      <c r="D991" s="82"/>
      <c r="I991" s="18"/>
      <c r="J991" s="13"/>
    </row>
    <row r="992">
      <c r="D992" s="82"/>
      <c r="I992" s="18"/>
      <c r="J992" s="13"/>
    </row>
    <row r="993">
      <c r="D993" s="82"/>
      <c r="I993" s="18"/>
      <c r="J993" s="13"/>
    </row>
    <row r="994">
      <c r="D994" s="82"/>
      <c r="I994" s="18"/>
      <c r="J994" s="13"/>
    </row>
    <row r="995">
      <c r="D995" s="82"/>
      <c r="I995" s="18"/>
      <c r="J995" s="13"/>
    </row>
    <row r="996">
      <c r="D996" s="82"/>
      <c r="I996" s="18"/>
      <c r="J996" s="13"/>
    </row>
    <row r="997">
      <c r="D997" s="82"/>
      <c r="I997" s="18"/>
      <c r="J997" s="13"/>
    </row>
    <row r="998">
      <c r="D998" s="82"/>
      <c r="I998" s="18"/>
      <c r="J998" s="13"/>
    </row>
    <row r="999">
      <c r="D999" s="82"/>
      <c r="I999" s="18"/>
      <c r="J999" s="13"/>
    </row>
    <row r="1000">
      <c r="D1000" s="82"/>
      <c r="I1000" s="18"/>
      <c r="J1000" s="13"/>
    </row>
    <row r="1001">
      <c r="D1001" s="82"/>
      <c r="I1001" s="18"/>
      <c r="J1001" s="13"/>
    </row>
    <row r="1002">
      <c r="D1002" s="82"/>
      <c r="I1002" s="18"/>
      <c r="J1002" s="13"/>
    </row>
    <row r="1003">
      <c r="D1003" s="82"/>
      <c r="I1003" s="18"/>
      <c r="J1003" s="13"/>
    </row>
    <row r="1004">
      <c r="D1004" s="82"/>
      <c r="I1004" s="18"/>
      <c r="J1004" s="13"/>
    </row>
    <row r="1005">
      <c r="D1005" s="82"/>
      <c r="I1005" s="18"/>
      <c r="J1005" s="13"/>
    </row>
    <row r="1006">
      <c r="D1006" s="82"/>
      <c r="I1006" s="18"/>
      <c r="J1006" s="13"/>
    </row>
    <row r="1007">
      <c r="D1007" s="82"/>
      <c r="I1007" s="18"/>
      <c r="J1007" s="13"/>
    </row>
    <row r="1008">
      <c r="D1008" s="82"/>
      <c r="I1008" s="18"/>
      <c r="J1008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9.88"/>
    <col customWidth="1" min="2" max="2" width="31.75"/>
    <col customWidth="1" min="3" max="3" width="20.13"/>
    <col customWidth="1" min="4" max="4" width="61.38"/>
    <col customWidth="1" min="5" max="5" width="76.88"/>
    <col customWidth="1" min="7" max="7" width="38.13"/>
    <col customWidth="1" min="8" max="8" width="37.88"/>
    <col customWidth="1" min="9" max="9" width="38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 t="s">
        <v>1</v>
      </c>
      <c r="B2" s="5"/>
      <c r="C2" s="5" t="s">
        <v>238</v>
      </c>
      <c r="D2" s="5" t="s">
        <v>2</v>
      </c>
      <c r="E2" s="5" t="s">
        <v>8</v>
      </c>
      <c r="F2" s="5" t="s">
        <v>3</v>
      </c>
      <c r="G2" s="5"/>
      <c r="H2" s="5"/>
      <c r="I2" s="5" t="s">
        <v>5</v>
      </c>
    </row>
    <row r="3">
      <c r="A3" s="140" t="s">
        <v>14</v>
      </c>
      <c r="B3" s="141"/>
      <c r="C3" s="141"/>
      <c r="D3" s="141" t="s">
        <v>69</v>
      </c>
      <c r="E3" s="141" t="s">
        <v>69</v>
      </c>
      <c r="F3" s="59">
        <v>1.0</v>
      </c>
      <c r="G3" s="142">
        <v>195.0</v>
      </c>
      <c r="H3" s="142">
        <v>225.0</v>
      </c>
      <c r="I3" s="144">
        <v>225.0</v>
      </c>
    </row>
    <row r="4" collapsed="1">
      <c r="A4" s="145" t="s">
        <v>14</v>
      </c>
      <c r="B4" s="146" t="s">
        <v>239</v>
      </c>
      <c r="C4" s="146" t="s">
        <v>240</v>
      </c>
      <c r="D4" s="146" t="s">
        <v>239</v>
      </c>
      <c r="E4" s="147"/>
      <c r="F4" s="148"/>
      <c r="G4" s="149"/>
      <c r="H4" s="149"/>
      <c r="I4" s="149"/>
    </row>
    <row r="5" hidden="1" outlineLevel="1">
      <c r="A5" s="145" t="s">
        <v>14</v>
      </c>
      <c r="B5" s="146" t="s">
        <v>239</v>
      </c>
      <c r="C5" s="146" t="s">
        <v>240</v>
      </c>
      <c r="D5" s="146" t="s">
        <v>241</v>
      </c>
      <c r="E5" s="147"/>
      <c r="F5" s="148">
        <v>4.0</v>
      </c>
      <c r="G5" s="149"/>
      <c r="H5" s="149"/>
      <c r="I5" s="149"/>
    </row>
    <row r="6" hidden="1" outlineLevel="1">
      <c r="A6" s="145" t="s">
        <v>14</v>
      </c>
      <c r="B6" s="146" t="s">
        <v>239</v>
      </c>
      <c r="C6" s="146" t="s">
        <v>240</v>
      </c>
      <c r="D6" s="146" t="s">
        <v>242</v>
      </c>
      <c r="E6" s="150"/>
      <c r="F6" s="116"/>
      <c r="G6" s="151"/>
      <c r="H6" s="151"/>
      <c r="I6" s="151"/>
    </row>
    <row r="7" hidden="1" outlineLevel="1">
      <c r="A7" s="145" t="s">
        <v>14</v>
      </c>
      <c r="B7" s="146" t="s">
        <v>239</v>
      </c>
      <c r="C7" s="146" t="s">
        <v>240</v>
      </c>
      <c r="D7" s="153" t="s">
        <v>243</v>
      </c>
      <c r="E7" s="154"/>
      <c r="F7" s="17"/>
      <c r="G7" s="151"/>
      <c r="H7" s="151"/>
      <c r="I7" s="155"/>
    </row>
    <row r="8" hidden="1" outlineLevel="1">
      <c r="A8" s="145" t="s">
        <v>14</v>
      </c>
      <c r="B8" s="146" t="s">
        <v>239</v>
      </c>
      <c r="C8" s="146" t="s">
        <v>240</v>
      </c>
      <c r="D8" s="153" t="s">
        <v>244</v>
      </c>
      <c r="E8" s="154"/>
      <c r="F8" s="17"/>
      <c r="G8" s="151"/>
      <c r="H8" s="151"/>
      <c r="I8" s="156"/>
    </row>
    <row r="9" hidden="1" outlineLevel="1">
      <c r="A9" s="145" t="s">
        <v>14</v>
      </c>
      <c r="B9" s="146" t="s">
        <v>239</v>
      </c>
      <c r="C9" s="146" t="s">
        <v>240</v>
      </c>
      <c r="D9" s="153" t="s">
        <v>246</v>
      </c>
      <c r="E9" s="157"/>
      <c r="F9" s="17"/>
      <c r="G9" s="156"/>
      <c r="H9" s="151"/>
      <c r="I9" s="155"/>
    </row>
    <row r="10" hidden="1" outlineLevel="1">
      <c r="A10" s="145" t="s">
        <v>14</v>
      </c>
      <c r="B10" s="146" t="s">
        <v>239</v>
      </c>
      <c r="C10" s="146" t="s">
        <v>240</v>
      </c>
      <c r="D10" s="153" t="s">
        <v>247</v>
      </c>
      <c r="E10" s="157"/>
      <c r="F10" s="17"/>
      <c r="G10" s="156"/>
      <c r="H10" s="151"/>
      <c r="I10" s="155"/>
    </row>
    <row r="11" hidden="1" outlineLevel="1">
      <c r="A11" s="145" t="s">
        <v>14</v>
      </c>
      <c r="B11" s="146" t="s">
        <v>239</v>
      </c>
      <c r="C11" s="146" t="s">
        <v>240</v>
      </c>
      <c r="D11" s="157" t="s">
        <v>248</v>
      </c>
      <c r="E11" s="157"/>
      <c r="F11" s="17"/>
      <c r="G11" s="156"/>
      <c r="H11" s="151"/>
      <c r="I11" s="155"/>
    </row>
    <row r="12" hidden="1" outlineLevel="1">
      <c r="A12" s="145" t="s">
        <v>14</v>
      </c>
      <c r="B12" s="146" t="s">
        <v>239</v>
      </c>
      <c r="C12" s="146" t="s">
        <v>240</v>
      </c>
      <c r="D12" s="157" t="s">
        <v>249</v>
      </c>
      <c r="E12" s="157"/>
      <c r="F12" s="17">
        <v>50.0</v>
      </c>
      <c r="G12" s="156"/>
      <c r="H12" s="156"/>
      <c r="I12" s="155"/>
    </row>
    <row r="13" hidden="1" outlineLevel="1">
      <c r="A13" s="145" t="s">
        <v>14</v>
      </c>
      <c r="B13" s="146" t="s">
        <v>239</v>
      </c>
      <c r="C13" s="146" t="s">
        <v>240</v>
      </c>
      <c r="D13" s="157" t="s">
        <v>250</v>
      </c>
      <c r="E13" s="154"/>
      <c r="F13" s="17"/>
      <c r="G13" s="156"/>
      <c r="H13" s="156"/>
      <c r="I13" s="155"/>
    </row>
    <row r="14" hidden="1" outlineLevel="1">
      <c r="A14" s="145" t="s">
        <v>14</v>
      </c>
      <c r="B14" s="146" t="s">
        <v>239</v>
      </c>
      <c r="C14" s="146" t="s">
        <v>240</v>
      </c>
      <c r="D14" s="154" t="s">
        <v>251</v>
      </c>
      <c r="E14" s="157"/>
      <c r="F14" s="17"/>
      <c r="G14" s="156"/>
      <c r="H14" s="156"/>
      <c r="I14" s="155"/>
    </row>
    <row r="15" hidden="1" outlineLevel="1">
      <c r="A15" s="145" t="s">
        <v>14</v>
      </c>
      <c r="B15" s="146" t="s">
        <v>239</v>
      </c>
      <c r="C15" s="146" t="s">
        <v>240</v>
      </c>
      <c r="D15" s="154" t="s">
        <v>252</v>
      </c>
      <c r="E15" s="154"/>
      <c r="F15" s="17"/>
      <c r="G15" s="156"/>
      <c r="H15" s="151"/>
      <c r="I15" s="155"/>
    </row>
    <row r="16" hidden="1" outlineLevel="1">
      <c r="A16" s="145" t="s">
        <v>14</v>
      </c>
      <c r="B16" s="146" t="s">
        <v>239</v>
      </c>
      <c r="C16" s="146" t="s">
        <v>240</v>
      </c>
      <c r="D16" s="154" t="s">
        <v>253</v>
      </c>
      <c r="E16" s="154"/>
      <c r="F16" s="17"/>
      <c r="G16" s="156"/>
      <c r="H16" s="151"/>
      <c r="I16" s="155"/>
    </row>
    <row r="17" hidden="1" outlineLevel="1">
      <c r="A17" s="145" t="s">
        <v>14</v>
      </c>
      <c r="B17" s="146" t="s">
        <v>239</v>
      </c>
      <c r="C17" s="146" t="s">
        <v>240</v>
      </c>
      <c r="D17" s="154" t="s">
        <v>254</v>
      </c>
      <c r="E17" s="154"/>
      <c r="F17" s="17">
        <v>34.0</v>
      </c>
      <c r="G17" s="156"/>
      <c r="H17" s="151"/>
      <c r="I17" s="155"/>
    </row>
    <row r="18" hidden="1" outlineLevel="1">
      <c r="A18" s="145" t="s">
        <v>14</v>
      </c>
      <c r="B18" s="146" t="s">
        <v>239</v>
      </c>
      <c r="C18" s="146" t="s">
        <v>240</v>
      </c>
      <c r="D18" s="154" t="s">
        <v>255</v>
      </c>
      <c r="E18" s="154"/>
      <c r="F18" s="17"/>
      <c r="G18" s="151"/>
      <c r="H18" s="151"/>
      <c r="I18" s="155"/>
    </row>
    <row r="19" hidden="1" outlineLevel="1">
      <c r="A19" s="145" t="s">
        <v>14</v>
      </c>
      <c r="B19" s="146" t="s">
        <v>239</v>
      </c>
      <c r="C19" s="146" t="s">
        <v>240</v>
      </c>
      <c r="D19" s="154" t="s">
        <v>256</v>
      </c>
      <c r="E19" s="154"/>
      <c r="F19" s="17"/>
      <c r="G19" s="151"/>
      <c r="H19" s="151"/>
      <c r="I19" s="155"/>
    </row>
    <row r="20" hidden="1" outlineLevel="1">
      <c r="A20" s="145" t="s">
        <v>14</v>
      </c>
      <c r="B20" s="146" t="s">
        <v>239</v>
      </c>
      <c r="C20" s="146" t="s">
        <v>240</v>
      </c>
      <c r="D20" s="154" t="s">
        <v>257</v>
      </c>
      <c r="E20" s="154"/>
      <c r="F20" s="17"/>
      <c r="G20" s="151"/>
      <c r="H20" s="151"/>
      <c r="I20" s="155"/>
    </row>
    <row r="21" hidden="1" outlineLevel="1">
      <c r="A21" s="145" t="s">
        <v>14</v>
      </c>
      <c r="B21" s="146" t="s">
        <v>239</v>
      </c>
      <c r="C21" s="146" t="s">
        <v>240</v>
      </c>
      <c r="D21" s="154" t="s">
        <v>258</v>
      </c>
      <c r="E21" s="154"/>
      <c r="F21" s="17"/>
      <c r="G21" s="151"/>
      <c r="H21" s="151"/>
      <c r="I21" s="155"/>
    </row>
    <row r="22" hidden="1" outlineLevel="1">
      <c r="A22" s="145" t="s">
        <v>14</v>
      </c>
      <c r="B22" s="146" t="s">
        <v>239</v>
      </c>
      <c r="C22" s="146" t="s">
        <v>240</v>
      </c>
      <c r="D22" s="154" t="s">
        <v>259</v>
      </c>
      <c r="E22" s="154"/>
      <c r="F22" s="17"/>
      <c r="G22" s="151"/>
      <c r="H22" s="156"/>
      <c r="I22" s="155"/>
    </row>
    <row r="23" hidden="1" outlineLevel="1">
      <c r="A23" s="145" t="s">
        <v>14</v>
      </c>
      <c r="B23" s="146" t="s">
        <v>239</v>
      </c>
      <c r="C23" s="146" t="s">
        <v>240</v>
      </c>
      <c r="D23" s="154" t="s">
        <v>260</v>
      </c>
      <c r="E23" s="154"/>
      <c r="F23" s="17"/>
      <c r="G23" s="151"/>
      <c r="H23" s="151"/>
      <c r="I23" s="155"/>
    </row>
    <row r="24" hidden="1" outlineLevel="1">
      <c r="A24" s="145" t="s">
        <v>14</v>
      </c>
      <c r="B24" s="146" t="s">
        <v>239</v>
      </c>
      <c r="C24" s="146" t="s">
        <v>240</v>
      </c>
      <c r="D24" s="154" t="s">
        <v>261</v>
      </c>
      <c r="E24" s="154"/>
      <c r="F24" s="104"/>
      <c r="G24" s="156"/>
      <c r="H24" s="156"/>
      <c r="I24" s="156"/>
    </row>
    <row r="25" hidden="1" outlineLevel="1">
      <c r="A25" s="145" t="s">
        <v>14</v>
      </c>
      <c r="B25" s="146" t="s">
        <v>239</v>
      </c>
      <c r="C25" s="146" t="s">
        <v>240</v>
      </c>
      <c r="D25" s="154" t="s">
        <v>262</v>
      </c>
      <c r="E25" s="147"/>
      <c r="F25" s="147"/>
      <c r="G25" s="149"/>
      <c r="H25" s="149"/>
      <c r="I25" s="149"/>
    </row>
    <row r="26" hidden="1" outlineLevel="1">
      <c r="A26" s="145" t="s">
        <v>14</v>
      </c>
      <c r="B26" s="146" t="s">
        <v>239</v>
      </c>
      <c r="C26" s="146" t="s">
        <v>240</v>
      </c>
      <c r="D26" s="154" t="s">
        <v>263</v>
      </c>
      <c r="E26" s="147"/>
      <c r="F26" s="147"/>
      <c r="G26" s="149"/>
      <c r="H26" s="149"/>
      <c r="I26" s="149"/>
    </row>
    <row r="27" hidden="1" outlineLevel="1">
      <c r="A27" s="145" t="s">
        <v>14</v>
      </c>
      <c r="B27" s="146" t="s">
        <v>239</v>
      </c>
      <c r="C27" s="146" t="s">
        <v>240</v>
      </c>
      <c r="D27" s="154" t="s">
        <v>264</v>
      </c>
      <c r="E27" s="147"/>
      <c r="F27" s="148">
        <v>2.0</v>
      </c>
      <c r="G27" s="149"/>
      <c r="H27" s="149"/>
      <c r="I27" s="149"/>
    </row>
    <row r="28" hidden="1" outlineLevel="1">
      <c r="A28" s="145" t="s">
        <v>14</v>
      </c>
      <c r="B28" s="146" t="s">
        <v>239</v>
      </c>
      <c r="C28" s="146" t="s">
        <v>240</v>
      </c>
      <c r="D28" s="154" t="s">
        <v>265</v>
      </c>
      <c r="E28" s="147"/>
      <c r="F28" s="147"/>
      <c r="G28" s="149"/>
      <c r="H28" s="149"/>
      <c r="I28" s="149"/>
    </row>
    <row r="29" hidden="1" outlineLevel="1">
      <c r="A29" s="145" t="s">
        <v>14</v>
      </c>
      <c r="B29" s="146" t="s">
        <v>239</v>
      </c>
      <c r="C29" s="146" t="s">
        <v>240</v>
      </c>
      <c r="D29" s="154" t="s">
        <v>266</v>
      </c>
      <c r="E29" s="147"/>
      <c r="F29" s="147"/>
      <c r="G29" s="149"/>
      <c r="H29" s="149"/>
      <c r="I29" s="149"/>
    </row>
    <row r="30" hidden="1" outlineLevel="1">
      <c r="A30" s="145" t="s">
        <v>14</v>
      </c>
      <c r="B30" s="146" t="s">
        <v>239</v>
      </c>
      <c r="C30" s="146" t="s">
        <v>240</v>
      </c>
      <c r="D30" s="154" t="s">
        <v>267</v>
      </c>
      <c r="E30" s="147"/>
      <c r="F30" s="147"/>
      <c r="G30" s="149"/>
      <c r="H30" s="149"/>
      <c r="I30" s="149"/>
    </row>
    <row r="31" hidden="1" outlineLevel="1">
      <c r="A31" s="145" t="s">
        <v>14</v>
      </c>
      <c r="B31" s="146" t="s">
        <v>239</v>
      </c>
      <c r="C31" s="146" t="s">
        <v>240</v>
      </c>
      <c r="D31" s="154" t="s">
        <v>268</v>
      </c>
      <c r="E31" s="147"/>
      <c r="F31" s="147"/>
      <c r="G31" s="149"/>
      <c r="H31" s="149"/>
      <c r="I31" s="149"/>
    </row>
    <row r="32" hidden="1" outlineLevel="1">
      <c r="A32" s="145" t="s">
        <v>14</v>
      </c>
      <c r="B32" s="146" t="s">
        <v>239</v>
      </c>
      <c r="C32" s="146" t="s">
        <v>240</v>
      </c>
      <c r="D32" s="154" t="s">
        <v>269</v>
      </c>
      <c r="E32" s="147"/>
      <c r="F32" s="147"/>
      <c r="G32" s="149"/>
      <c r="H32" s="149"/>
      <c r="I32" s="149"/>
    </row>
    <row r="33" hidden="1" outlineLevel="1">
      <c r="A33" s="145" t="s">
        <v>14</v>
      </c>
      <c r="B33" s="146" t="s">
        <v>239</v>
      </c>
      <c r="C33" s="146" t="s">
        <v>240</v>
      </c>
      <c r="D33" s="154" t="s">
        <v>270</v>
      </c>
      <c r="E33" s="147"/>
      <c r="F33" s="147"/>
      <c r="G33" s="149"/>
      <c r="H33" s="149"/>
      <c r="I33" s="149"/>
    </row>
    <row r="34" hidden="1" outlineLevel="1">
      <c r="A34" s="145" t="s">
        <v>14</v>
      </c>
      <c r="B34" s="146" t="s">
        <v>239</v>
      </c>
      <c r="C34" s="146" t="s">
        <v>240</v>
      </c>
      <c r="D34" s="154" t="s">
        <v>271</v>
      </c>
      <c r="E34" s="147"/>
      <c r="F34" s="147"/>
      <c r="G34" s="149"/>
      <c r="H34" s="149"/>
      <c r="I34" s="149"/>
    </row>
    <row r="35" hidden="1" outlineLevel="1">
      <c r="A35" s="145" t="s">
        <v>14</v>
      </c>
      <c r="B35" s="146" t="s">
        <v>239</v>
      </c>
      <c r="C35" s="146" t="s">
        <v>240</v>
      </c>
      <c r="D35" s="154" t="s">
        <v>272</v>
      </c>
      <c r="E35" s="147"/>
      <c r="F35" s="147"/>
      <c r="G35" s="149"/>
      <c r="H35" s="149"/>
      <c r="I35" s="149"/>
    </row>
    <row r="36" hidden="1" outlineLevel="1">
      <c r="A36" s="145" t="s">
        <v>14</v>
      </c>
      <c r="B36" s="146" t="s">
        <v>239</v>
      </c>
      <c r="C36" s="146" t="s">
        <v>240</v>
      </c>
      <c r="D36" s="154" t="s">
        <v>273</v>
      </c>
      <c r="E36" s="147"/>
      <c r="F36" s="147"/>
      <c r="G36" s="149"/>
      <c r="H36" s="149"/>
      <c r="I36" s="149"/>
    </row>
    <row r="37" hidden="1" outlineLevel="1">
      <c r="A37" s="145" t="s">
        <v>14</v>
      </c>
      <c r="B37" s="146" t="s">
        <v>239</v>
      </c>
      <c r="C37" s="146" t="s">
        <v>240</v>
      </c>
      <c r="D37" s="154" t="s">
        <v>274</v>
      </c>
      <c r="E37" s="150"/>
      <c r="F37" s="116"/>
      <c r="G37" s="151"/>
      <c r="H37" s="151"/>
      <c r="I37" s="151"/>
    </row>
    <row r="38" hidden="1" outlineLevel="1">
      <c r="A38" s="145" t="s">
        <v>14</v>
      </c>
      <c r="B38" s="146" t="s">
        <v>239</v>
      </c>
      <c r="C38" s="146" t="s">
        <v>240</v>
      </c>
      <c r="D38" s="154" t="s">
        <v>276</v>
      </c>
      <c r="E38" s="147"/>
      <c r="F38" s="147"/>
      <c r="G38" s="149"/>
      <c r="H38" s="156"/>
      <c r="I38" s="156"/>
    </row>
    <row r="39" hidden="1" outlineLevel="1">
      <c r="A39" s="145" t="s">
        <v>14</v>
      </c>
      <c r="B39" s="146" t="s">
        <v>239</v>
      </c>
      <c r="C39" s="146" t="s">
        <v>240</v>
      </c>
      <c r="D39" s="154" t="s">
        <v>279</v>
      </c>
      <c r="E39" s="147"/>
      <c r="F39" s="147"/>
      <c r="G39" s="149"/>
      <c r="H39" s="156"/>
      <c r="I39" s="156"/>
    </row>
    <row r="40" hidden="1" outlineLevel="1">
      <c r="A40" s="145" t="s">
        <v>14</v>
      </c>
      <c r="B40" s="146" t="s">
        <v>239</v>
      </c>
      <c r="C40" s="146" t="s">
        <v>240</v>
      </c>
      <c r="D40" s="154" t="s">
        <v>281</v>
      </c>
      <c r="E40" s="147"/>
      <c r="F40" s="147"/>
      <c r="G40" s="149"/>
      <c r="H40" s="156"/>
      <c r="I40" s="156"/>
    </row>
    <row r="41" hidden="1" outlineLevel="1">
      <c r="A41" s="145" t="s">
        <v>14</v>
      </c>
      <c r="B41" s="146" t="s">
        <v>239</v>
      </c>
      <c r="C41" s="146" t="s">
        <v>240</v>
      </c>
      <c r="D41" s="154" t="s">
        <v>284</v>
      </c>
      <c r="E41" s="147"/>
      <c r="F41" s="147"/>
      <c r="G41" s="149"/>
      <c r="H41" s="156"/>
      <c r="I41" s="156"/>
    </row>
    <row r="42" hidden="1" outlineLevel="1">
      <c r="A42" s="145" t="s">
        <v>14</v>
      </c>
      <c r="B42" s="146" t="s">
        <v>239</v>
      </c>
      <c r="C42" s="146" t="s">
        <v>240</v>
      </c>
      <c r="D42" s="154" t="s">
        <v>297</v>
      </c>
      <c r="E42" s="147"/>
      <c r="F42" s="147"/>
      <c r="G42" s="149"/>
      <c r="H42" s="156"/>
      <c r="I42" s="156"/>
    </row>
    <row r="43" hidden="1" outlineLevel="1">
      <c r="A43" s="145" t="s">
        <v>14</v>
      </c>
      <c r="B43" s="146" t="s">
        <v>239</v>
      </c>
      <c r="C43" s="146" t="s">
        <v>240</v>
      </c>
      <c r="D43" s="154" t="s">
        <v>299</v>
      </c>
      <c r="E43" s="147"/>
      <c r="F43" s="147"/>
      <c r="G43" s="149"/>
      <c r="H43" s="156"/>
      <c r="I43" s="156"/>
    </row>
    <row r="44" hidden="1" outlineLevel="1">
      <c r="A44" s="145" t="s">
        <v>14</v>
      </c>
      <c r="B44" s="146" t="s">
        <v>239</v>
      </c>
      <c r="C44" s="146" t="s">
        <v>240</v>
      </c>
      <c r="D44" s="154" t="s">
        <v>303</v>
      </c>
      <c r="E44" s="147"/>
      <c r="F44" s="148">
        <v>2.0</v>
      </c>
      <c r="G44" s="149"/>
      <c r="H44" s="156"/>
      <c r="I44" s="156"/>
    </row>
    <row r="45" hidden="1" outlineLevel="1">
      <c r="A45" s="145" t="s">
        <v>14</v>
      </c>
      <c r="B45" s="146" t="s">
        <v>239</v>
      </c>
      <c r="C45" s="146" t="s">
        <v>240</v>
      </c>
      <c r="D45" s="154" t="s">
        <v>305</v>
      </c>
      <c r="E45" s="147"/>
      <c r="F45" s="147"/>
      <c r="G45" s="149"/>
      <c r="H45" s="156"/>
      <c r="I45" s="156"/>
    </row>
    <row r="46" hidden="1" outlineLevel="1">
      <c r="A46" s="145" t="s">
        <v>14</v>
      </c>
      <c r="B46" s="146" t="s">
        <v>239</v>
      </c>
      <c r="C46" s="146" t="s">
        <v>240</v>
      </c>
      <c r="D46" s="154" t="s">
        <v>307</v>
      </c>
      <c r="E46" s="166"/>
      <c r="F46" s="116"/>
      <c r="G46" s="151"/>
      <c r="H46" s="156"/>
      <c r="I46" s="156"/>
    </row>
    <row r="47" hidden="1" outlineLevel="1">
      <c r="A47" s="145" t="s">
        <v>14</v>
      </c>
      <c r="B47" s="146" t="s">
        <v>239</v>
      </c>
      <c r="C47" s="146" t="s">
        <v>240</v>
      </c>
      <c r="D47" s="154" t="s">
        <v>313</v>
      </c>
      <c r="E47" s="147"/>
      <c r="F47" s="147"/>
      <c r="G47" s="149"/>
      <c r="H47" s="156"/>
      <c r="I47" s="156"/>
    </row>
    <row r="48" hidden="1" outlineLevel="1">
      <c r="A48" s="145" t="s">
        <v>14</v>
      </c>
      <c r="B48" s="146" t="s">
        <v>239</v>
      </c>
      <c r="C48" s="146" t="s">
        <v>240</v>
      </c>
      <c r="D48" s="154" t="s">
        <v>315</v>
      </c>
      <c r="E48" s="147"/>
      <c r="F48" s="147"/>
      <c r="G48" s="149"/>
      <c r="H48" s="156"/>
      <c r="I48" s="156"/>
    </row>
    <row r="49" hidden="1" outlineLevel="1">
      <c r="A49" s="145" t="s">
        <v>14</v>
      </c>
      <c r="B49" s="146" t="s">
        <v>239</v>
      </c>
      <c r="C49" s="146" t="s">
        <v>240</v>
      </c>
      <c r="D49" s="154" t="s">
        <v>316</v>
      </c>
      <c r="E49" s="147"/>
      <c r="F49" s="147"/>
      <c r="G49" s="149"/>
      <c r="H49" s="156"/>
      <c r="I49" s="156"/>
    </row>
    <row r="50" hidden="1" outlineLevel="1">
      <c r="A50" s="145" t="s">
        <v>14</v>
      </c>
      <c r="B50" s="146" t="s">
        <v>239</v>
      </c>
      <c r="C50" s="146" t="s">
        <v>240</v>
      </c>
      <c r="D50" s="168" t="s">
        <v>320</v>
      </c>
      <c r="E50" s="147"/>
      <c r="F50" s="147"/>
      <c r="G50" s="149"/>
      <c r="H50" s="156"/>
      <c r="I50" s="156"/>
    </row>
    <row r="51" hidden="1" outlineLevel="1">
      <c r="A51" s="145" t="s">
        <v>14</v>
      </c>
      <c r="B51" s="146" t="s">
        <v>239</v>
      </c>
      <c r="C51" s="146" t="s">
        <v>240</v>
      </c>
      <c r="D51" s="168" t="s">
        <v>327</v>
      </c>
      <c r="E51" s="147"/>
      <c r="F51" s="147"/>
      <c r="G51" s="149"/>
      <c r="H51" s="156"/>
      <c r="I51" s="156"/>
    </row>
    <row r="52" hidden="1" outlineLevel="1">
      <c r="A52" s="145" t="s">
        <v>14</v>
      </c>
      <c r="B52" s="146" t="s">
        <v>239</v>
      </c>
      <c r="C52" s="146" t="s">
        <v>240</v>
      </c>
      <c r="D52" s="168" t="s">
        <v>331</v>
      </c>
      <c r="E52" s="147"/>
      <c r="F52" s="147"/>
      <c r="G52" s="149"/>
      <c r="H52" s="156"/>
      <c r="I52" s="156"/>
    </row>
    <row r="53" hidden="1" outlineLevel="1">
      <c r="A53" s="145" t="s">
        <v>14</v>
      </c>
      <c r="B53" s="146" t="s">
        <v>239</v>
      </c>
      <c r="C53" s="146" t="s">
        <v>240</v>
      </c>
      <c r="D53" s="168" t="s">
        <v>336</v>
      </c>
      <c r="E53" s="147"/>
      <c r="F53" s="147"/>
      <c r="G53" s="149"/>
      <c r="H53" s="156"/>
      <c r="I53" s="156"/>
    </row>
    <row r="54" hidden="1" outlineLevel="1">
      <c r="A54" s="145" t="s">
        <v>14</v>
      </c>
      <c r="B54" s="146" t="s">
        <v>239</v>
      </c>
      <c r="C54" s="146" t="s">
        <v>240</v>
      </c>
      <c r="D54" s="168" t="s">
        <v>339</v>
      </c>
      <c r="E54" s="147"/>
      <c r="F54" s="147"/>
      <c r="G54" s="149"/>
      <c r="H54" s="156"/>
      <c r="I54" s="156"/>
    </row>
    <row r="55" hidden="1" outlineLevel="1">
      <c r="A55" s="145" t="s">
        <v>14</v>
      </c>
      <c r="B55" s="146" t="s">
        <v>239</v>
      </c>
      <c r="C55" s="146" t="s">
        <v>240</v>
      </c>
      <c r="D55" s="168" t="s">
        <v>344</v>
      </c>
      <c r="E55" s="166"/>
      <c r="F55" s="170">
        <v>4.0</v>
      </c>
      <c r="G55" s="151"/>
      <c r="H55" s="156"/>
      <c r="I55" s="156"/>
    </row>
    <row r="56" hidden="1" outlineLevel="1">
      <c r="A56" s="145" t="s">
        <v>14</v>
      </c>
      <c r="B56" s="146" t="s">
        <v>239</v>
      </c>
      <c r="C56" s="146" t="s">
        <v>240</v>
      </c>
      <c r="D56" s="168" t="s">
        <v>354</v>
      </c>
      <c r="E56" s="147"/>
      <c r="F56" s="147"/>
      <c r="G56" s="149"/>
      <c r="H56" s="156"/>
      <c r="I56" s="156"/>
    </row>
    <row r="57" hidden="1" outlineLevel="1">
      <c r="A57" s="145" t="s">
        <v>14</v>
      </c>
      <c r="B57" s="146" t="s">
        <v>239</v>
      </c>
      <c r="C57" s="146" t="s">
        <v>240</v>
      </c>
      <c r="D57" s="168" t="s">
        <v>361</v>
      </c>
      <c r="E57" s="147"/>
      <c r="F57" s="147"/>
      <c r="G57" s="149"/>
      <c r="H57" s="156"/>
      <c r="I57" s="156"/>
    </row>
    <row r="58" hidden="1" outlineLevel="1">
      <c r="A58" s="145" t="s">
        <v>14</v>
      </c>
      <c r="B58" s="146" t="s">
        <v>239</v>
      </c>
      <c r="C58" s="146" t="s">
        <v>240</v>
      </c>
      <c r="D58" s="168" t="s">
        <v>364</v>
      </c>
      <c r="E58" s="147"/>
      <c r="F58" s="147"/>
      <c r="G58" s="149"/>
      <c r="H58" s="156"/>
      <c r="I58" s="156"/>
    </row>
    <row r="59" hidden="1" outlineLevel="1">
      <c r="A59" s="145" t="s">
        <v>14</v>
      </c>
      <c r="B59" s="146" t="s">
        <v>239</v>
      </c>
      <c r="C59" s="146" t="s">
        <v>240</v>
      </c>
      <c r="D59" s="168" t="s">
        <v>367</v>
      </c>
      <c r="E59" s="147"/>
      <c r="F59" s="147"/>
      <c r="G59" s="149"/>
      <c r="H59" s="156"/>
      <c r="I59" s="156"/>
    </row>
    <row r="60">
      <c r="A60" s="145"/>
      <c r="B60" s="146"/>
      <c r="C60" s="146"/>
      <c r="D60" s="146"/>
      <c r="E60" s="147"/>
      <c r="F60" s="148"/>
      <c r="G60" s="149"/>
      <c r="H60" s="149"/>
      <c r="I60" s="149"/>
    </row>
    <row r="61">
      <c r="A61" s="145"/>
      <c r="B61" s="146"/>
      <c r="C61" s="146"/>
      <c r="D61" s="146"/>
      <c r="E61" s="147"/>
      <c r="F61" s="148"/>
      <c r="G61" s="149"/>
      <c r="H61" s="149"/>
      <c r="I61" s="149"/>
    </row>
    <row r="62">
      <c r="A62" s="145"/>
      <c r="B62" s="146"/>
      <c r="C62" s="146"/>
      <c r="D62" s="146"/>
      <c r="E62" s="147"/>
      <c r="F62" s="148"/>
      <c r="G62" s="149"/>
      <c r="H62" s="149"/>
      <c r="I62" s="149"/>
    </row>
    <row r="63">
      <c r="A63" s="145"/>
      <c r="B63" s="146"/>
      <c r="C63" s="146"/>
      <c r="D63" s="146"/>
      <c r="E63" s="147"/>
      <c r="F63" s="148"/>
      <c r="G63" s="149"/>
      <c r="H63" s="149"/>
      <c r="I63" s="149"/>
    </row>
    <row r="64">
      <c r="A64" s="145"/>
      <c r="B64" s="146"/>
      <c r="C64" s="146"/>
      <c r="D64" s="146"/>
      <c r="E64" s="147"/>
      <c r="F64" s="148"/>
      <c r="G64" s="149"/>
      <c r="H64" s="149"/>
      <c r="I64" s="149"/>
    </row>
    <row r="65">
      <c r="A65" s="145"/>
      <c r="B65" s="146"/>
      <c r="C65" s="146"/>
      <c r="D65" s="146"/>
      <c r="E65" s="147"/>
      <c r="F65" s="148"/>
      <c r="G65" s="149"/>
      <c r="H65" s="149"/>
      <c r="I65" s="149"/>
    </row>
    <row r="66">
      <c r="A66" s="145"/>
      <c r="B66" s="146"/>
      <c r="C66" s="146"/>
      <c r="D66" s="146"/>
      <c r="E66" s="147"/>
      <c r="F66" s="148"/>
      <c r="G66" s="149"/>
      <c r="H66" s="149"/>
      <c r="I66" s="149"/>
    </row>
    <row r="67">
      <c r="A67" s="145"/>
      <c r="B67" s="146"/>
      <c r="C67" s="146"/>
      <c r="D67" s="146"/>
      <c r="E67" s="147"/>
      <c r="F67" s="148"/>
      <c r="G67" s="149"/>
      <c r="H67" s="149"/>
      <c r="I67" s="149"/>
    </row>
    <row r="68">
      <c r="A68" s="145"/>
      <c r="B68" s="146"/>
      <c r="C68" s="146"/>
      <c r="D68" s="146"/>
      <c r="E68" s="147"/>
      <c r="F68" s="148"/>
      <c r="G68" s="149"/>
      <c r="H68" s="149"/>
      <c r="I68" s="149"/>
    </row>
    <row r="69">
      <c r="A69" s="145"/>
      <c r="B69" s="146"/>
      <c r="C69" s="146"/>
      <c r="D69" s="146"/>
      <c r="E69" s="147"/>
      <c r="F69" s="148"/>
      <c r="G69" s="149"/>
      <c r="H69" s="149"/>
      <c r="I69" s="149"/>
    </row>
    <row r="70">
      <c r="A70" s="145"/>
      <c r="B70" s="146"/>
      <c r="C70" s="146"/>
      <c r="D70" s="146"/>
      <c r="E70" s="147"/>
      <c r="F70" s="148"/>
      <c r="G70" s="149"/>
      <c r="H70" s="149"/>
      <c r="I70" s="149"/>
    </row>
    <row r="71">
      <c r="A71" s="145"/>
      <c r="B71" s="146"/>
      <c r="C71" s="146"/>
      <c r="D71" s="146"/>
      <c r="E71" s="147"/>
      <c r="F71" s="148"/>
      <c r="G71" s="149"/>
      <c r="H71" s="149"/>
      <c r="I71" s="149"/>
    </row>
    <row r="72">
      <c r="A72" s="145"/>
      <c r="B72" s="146"/>
      <c r="C72" s="146"/>
      <c r="D72" s="146"/>
      <c r="E72" s="147"/>
      <c r="F72" s="148"/>
      <c r="G72" s="149"/>
      <c r="H72" s="149"/>
      <c r="I72" s="149"/>
    </row>
    <row r="73">
      <c r="A73" s="145"/>
      <c r="B73" s="146"/>
      <c r="C73" s="146"/>
      <c r="D73" s="146"/>
      <c r="E73" s="147"/>
      <c r="F73" s="148"/>
      <c r="G73" s="149"/>
      <c r="H73" s="149"/>
      <c r="I73" s="149"/>
    </row>
    <row r="74">
      <c r="A74" s="145"/>
      <c r="B74" s="146"/>
      <c r="C74" s="146"/>
      <c r="D74" s="146"/>
      <c r="E74" s="147"/>
      <c r="F74" s="148"/>
      <c r="G74" s="149"/>
      <c r="H74" s="149"/>
      <c r="I74" s="149"/>
    </row>
    <row r="75">
      <c r="A75" s="145"/>
      <c r="B75" s="146"/>
      <c r="C75" s="146"/>
      <c r="D75" s="146"/>
      <c r="E75" s="147"/>
      <c r="F75" s="148"/>
      <c r="G75" s="149"/>
      <c r="H75" s="149"/>
      <c r="I75" s="149"/>
    </row>
    <row r="76">
      <c r="A76" s="145"/>
      <c r="B76" s="146"/>
      <c r="C76" s="146"/>
      <c r="D76" s="146"/>
      <c r="E76" s="147"/>
      <c r="F76" s="148"/>
      <c r="G76" s="149"/>
      <c r="H76" s="149"/>
      <c r="I76" s="149"/>
    </row>
    <row r="77">
      <c r="A77" s="145"/>
      <c r="B77" s="146"/>
      <c r="C77" s="146"/>
      <c r="D77" s="146"/>
      <c r="E77" s="147"/>
      <c r="F77" s="148"/>
      <c r="G77" s="149"/>
      <c r="H77" s="149"/>
      <c r="I77" s="149"/>
    </row>
    <row r="78">
      <c r="A78" s="145"/>
      <c r="B78" s="146"/>
      <c r="C78" s="146"/>
      <c r="D78" s="146"/>
      <c r="E78" s="147"/>
      <c r="F78" s="148"/>
      <c r="G78" s="149"/>
      <c r="H78" s="149"/>
      <c r="I78" s="149"/>
    </row>
    <row r="79">
      <c r="A79" s="145"/>
      <c r="B79" s="146"/>
      <c r="C79" s="146"/>
      <c r="D79" s="146"/>
      <c r="E79" s="147"/>
      <c r="F79" s="148"/>
      <c r="G79" s="149"/>
      <c r="H79" s="149"/>
      <c r="I79" s="149"/>
    </row>
    <row r="80">
      <c r="A80" s="145"/>
      <c r="B80" s="146"/>
      <c r="C80" s="146"/>
      <c r="D80" s="146"/>
      <c r="E80" s="147"/>
      <c r="F80" s="148"/>
      <c r="G80" s="149"/>
      <c r="H80" s="149"/>
      <c r="I80" s="149"/>
    </row>
    <row r="81">
      <c r="A81" s="145"/>
      <c r="B81" s="146"/>
      <c r="C81" s="146"/>
      <c r="D81" s="146"/>
      <c r="E81" s="147"/>
      <c r="F81" s="148"/>
      <c r="G81" s="149"/>
      <c r="H81" s="149"/>
      <c r="I81" s="149"/>
    </row>
    <row r="82">
      <c r="A82" s="145"/>
      <c r="B82" s="146"/>
      <c r="C82" s="146"/>
      <c r="D82" s="146"/>
      <c r="E82" s="147"/>
      <c r="F82" s="148"/>
      <c r="G82" s="149"/>
      <c r="H82" s="149"/>
      <c r="I82" s="149"/>
    </row>
    <row r="83">
      <c r="A83" s="145"/>
      <c r="B83" s="146"/>
      <c r="C83" s="146"/>
      <c r="D83" s="146"/>
      <c r="E83" s="147"/>
      <c r="F83" s="148"/>
      <c r="G83" s="149"/>
      <c r="H83" s="149"/>
      <c r="I83" s="149"/>
    </row>
    <row r="84">
      <c r="A84" s="145"/>
      <c r="B84" s="146"/>
      <c r="C84" s="146"/>
      <c r="D84" s="146"/>
      <c r="E84" s="147"/>
      <c r="F84" s="148"/>
      <c r="G84" s="149"/>
      <c r="H84" s="149"/>
      <c r="I84" s="149"/>
    </row>
    <row r="85">
      <c r="A85" s="145"/>
      <c r="B85" s="146"/>
      <c r="C85" s="146"/>
      <c r="D85" s="146"/>
      <c r="E85" s="147"/>
      <c r="F85" s="148"/>
      <c r="G85" s="149"/>
      <c r="H85" s="149"/>
      <c r="I85" s="149"/>
    </row>
    <row r="86">
      <c r="A86" s="145"/>
      <c r="B86" s="146"/>
      <c r="C86" s="146"/>
      <c r="D86" s="146"/>
      <c r="E86" s="147"/>
      <c r="F86" s="148"/>
      <c r="G86" s="149"/>
      <c r="H86" s="149"/>
      <c r="I86" s="149"/>
    </row>
    <row r="87">
      <c r="A87" s="145"/>
      <c r="B87" s="146"/>
      <c r="C87" s="146"/>
      <c r="D87" s="146"/>
      <c r="E87" s="147"/>
      <c r="F87" s="148"/>
      <c r="G87" s="149"/>
      <c r="H87" s="149"/>
      <c r="I87" s="149"/>
    </row>
    <row r="88">
      <c r="A88" s="145"/>
      <c r="B88" s="146"/>
      <c r="C88" s="146"/>
      <c r="D88" s="146"/>
      <c r="E88" s="147"/>
      <c r="F88" s="148"/>
      <c r="G88" s="149"/>
      <c r="H88" s="149"/>
      <c r="I88" s="149"/>
    </row>
    <row r="89">
      <c r="A89" s="145"/>
      <c r="B89" s="146"/>
      <c r="C89" s="146"/>
      <c r="D89" s="146"/>
      <c r="E89" s="147"/>
      <c r="F89" s="148"/>
      <c r="G89" s="149"/>
      <c r="H89" s="149"/>
      <c r="I89" s="149"/>
    </row>
    <row r="90">
      <c r="A90" s="145"/>
      <c r="B90" s="146"/>
      <c r="C90" s="146"/>
      <c r="D90" s="146"/>
      <c r="E90" s="147"/>
      <c r="F90" s="148"/>
      <c r="G90" s="149"/>
      <c r="H90" s="149"/>
      <c r="I90" s="149"/>
    </row>
    <row r="91">
      <c r="A91" s="145"/>
      <c r="B91" s="146"/>
      <c r="C91" s="146"/>
      <c r="D91" s="146"/>
      <c r="E91" s="147"/>
      <c r="F91" s="148"/>
      <c r="G91" s="149"/>
      <c r="H91" s="149"/>
      <c r="I91" s="149"/>
    </row>
    <row r="92">
      <c r="A92" s="145"/>
      <c r="B92" s="146"/>
      <c r="C92" s="146"/>
      <c r="D92" s="146"/>
      <c r="E92" s="147"/>
      <c r="F92" s="148"/>
      <c r="G92" s="149"/>
      <c r="H92" s="149"/>
      <c r="I92" s="149"/>
    </row>
    <row r="93">
      <c r="A93" s="145"/>
      <c r="B93" s="146"/>
      <c r="C93" s="146"/>
      <c r="D93" s="146"/>
      <c r="E93" s="147"/>
      <c r="F93" s="148"/>
      <c r="G93" s="149"/>
      <c r="H93" s="149"/>
      <c r="I93" s="149"/>
    </row>
    <row r="94">
      <c r="A94" s="145"/>
      <c r="B94" s="146"/>
      <c r="C94" s="146"/>
      <c r="D94" s="146"/>
      <c r="E94" s="147"/>
      <c r="F94" s="148"/>
      <c r="G94" s="149"/>
      <c r="H94" s="149"/>
      <c r="I94" s="149"/>
    </row>
    <row r="95">
      <c r="A95" s="145"/>
      <c r="B95" s="146"/>
      <c r="C95" s="146"/>
      <c r="D95" s="146"/>
      <c r="E95" s="147"/>
      <c r="F95" s="148"/>
      <c r="G95" s="149"/>
      <c r="H95" s="149"/>
      <c r="I95" s="149"/>
    </row>
    <row r="96">
      <c r="A96" s="145"/>
      <c r="B96" s="146"/>
      <c r="C96" s="146"/>
      <c r="D96" s="146"/>
      <c r="E96" s="147"/>
      <c r="F96" s="148"/>
      <c r="G96" s="149"/>
      <c r="H96" s="149"/>
      <c r="I96" s="149"/>
    </row>
    <row r="97">
      <c r="A97" s="145"/>
      <c r="B97" s="146"/>
      <c r="C97" s="146"/>
      <c r="D97" s="146"/>
      <c r="E97" s="147"/>
      <c r="F97" s="148"/>
      <c r="G97" s="149"/>
      <c r="H97" s="149"/>
      <c r="I97" s="149"/>
    </row>
    <row r="98">
      <c r="A98" s="145"/>
      <c r="B98" s="146"/>
      <c r="C98" s="146"/>
      <c r="D98" s="146"/>
      <c r="E98" s="147"/>
      <c r="F98" s="148"/>
      <c r="G98" s="149"/>
      <c r="H98" s="149"/>
      <c r="I98" s="149"/>
    </row>
    <row r="99">
      <c r="A99" s="145"/>
      <c r="B99" s="146"/>
      <c r="C99" s="146"/>
      <c r="D99" s="146"/>
      <c r="E99" s="147"/>
      <c r="F99" s="148"/>
      <c r="G99" s="149"/>
      <c r="H99" s="149"/>
      <c r="I99" s="149"/>
    </row>
    <row r="100">
      <c r="A100" s="145"/>
      <c r="B100" s="146"/>
      <c r="C100" s="146"/>
      <c r="D100" s="146"/>
      <c r="E100" s="147"/>
      <c r="F100" s="148"/>
      <c r="G100" s="149"/>
      <c r="H100" s="149"/>
      <c r="I100" s="149"/>
    </row>
    <row r="101">
      <c r="A101" s="145"/>
      <c r="B101" s="146"/>
      <c r="C101" s="146"/>
      <c r="D101" s="146"/>
      <c r="E101" s="147"/>
      <c r="F101" s="148"/>
      <c r="G101" s="149"/>
      <c r="H101" s="149"/>
      <c r="I101" s="149"/>
    </row>
    <row r="102">
      <c r="A102" s="145"/>
      <c r="B102" s="146"/>
      <c r="C102" s="146"/>
      <c r="D102" s="146"/>
      <c r="E102" s="147"/>
      <c r="F102" s="148"/>
      <c r="G102" s="149"/>
      <c r="H102" s="149"/>
      <c r="I102" s="149"/>
    </row>
    <row r="103">
      <c r="A103" s="145"/>
      <c r="B103" s="146"/>
      <c r="C103" s="146"/>
      <c r="D103" s="146"/>
      <c r="E103" s="147"/>
      <c r="F103" s="148"/>
      <c r="G103" s="149"/>
      <c r="H103" s="149"/>
      <c r="I103" s="149"/>
    </row>
    <row r="104">
      <c r="A104" s="145"/>
      <c r="B104" s="146"/>
      <c r="C104" s="146"/>
      <c r="D104" s="146"/>
      <c r="E104" s="147"/>
      <c r="F104" s="148"/>
      <c r="G104" s="149"/>
      <c r="H104" s="149"/>
      <c r="I104" s="149"/>
    </row>
    <row r="105">
      <c r="A105" s="145"/>
      <c r="B105" s="146"/>
      <c r="C105" s="146"/>
      <c r="D105" s="146"/>
      <c r="E105" s="147"/>
      <c r="F105" s="148"/>
      <c r="G105" s="149"/>
      <c r="H105" s="149"/>
      <c r="I105" s="149"/>
    </row>
    <row r="106">
      <c r="A106" s="145"/>
      <c r="B106" s="146"/>
      <c r="C106" s="146"/>
      <c r="D106" s="146"/>
      <c r="E106" s="147"/>
      <c r="F106" s="148"/>
      <c r="G106" s="149"/>
      <c r="H106" s="149"/>
      <c r="I106" s="149"/>
    </row>
    <row r="107">
      <c r="A107" s="145"/>
      <c r="B107" s="146"/>
      <c r="C107" s="146"/>
      <c r="D107" s="146"/>
      <c r="E107" s="147"/>
      <c r="F107" s="148"/>
      <c r="G107" s="149"/>
      <c r="H107" s="149"/>
      <c r="I107" s="149"/>
    </row>
    <row r="108">
      <c r="A108" s="145"/>
      <c r="B108" s="146"/>
      <c r="C108" s="146"/>
      <c r="D108" s="146"/>
      <c r="E108" s="147"/>
      <c r="F108" s="148"/>
      <c r="G108" s="149"/>
      <c r="H108" s="149"/>
      <c r="I108" s="149"/>
    </row>
    <row r="109">
      <c r="A109" s="145"/>
      <c r="B109" s="146"/>
      <c r="C109" s="146"/>
      <c r="D109" s="146"/>
      <c r="E109" s="147"/>
      <c r="F109" s="148"/>
      <c r="G109" s="149"/>
      <c r="H109" s="149"/>
      <c r="I109" s="149"/>
    </row>
    <row r="110">
      <c r="A110" s="145"/>
      <c r="B110" s="146"/>
      <c r="C110" s="146"/>
      <c r="D110" s="146"/>
      <c r="E110" s="147"/>
      <c r="F110" s="148"/>
      <c r="G110" s="149"/>
      <c r="H110" s="149"/>
      <c r="I110" s="149"/>
    </row>
    <row r="111">
      <c r="A111" s="145"/>
      <c r="B111" s="146"/>
      <c r="C111" s="146"/>
      <c r="D111" s="146"/>
      <c r="E111" s="147"/>
      <c r="F111" s="148"/>
      <c r="G111" s="149"/>
      <c r="H111" s="149"/>
      <c r="I111" s="149"/>
    </row>
    <row r="112">
      <c r="A112" s="145"/>
      <c r="B112" s="146"/>
      <c r="C112" s="146"/>
      <c r="D112" s="146"/>
      <c r="E112" s="147"/>
      <c r="F112" s="148"/>
      <c r="G112" s="149"/>
      <c r="H112" s="149"/>
      <c r="I112" s="149"/>
    </row>
    <row r="113">
      <c r="A113" s="145"/>
      <c r="B113" s="146"/>
      <c r="C113" s="146"/>
      <c r="D113" s="146"/>
      <c r="E113" s="147"/>
      <c r="F113" s="148"/>
      <c r="G113" s="149"/>
      <c r="H113" s="149"/>
      <c r="I113" s="149"/>
    </row>
    <row r="114">
      <c r="A114" s="145"/>
      <c r="B114" s="146"/>
      <c r="C114" s="146"/>
      <c r="D114" s="146"/>
      <c r="E114" s="147"/>
      <c r="F114" s="148"/>
      <c r="G114" s="149"/>
      <c r="H114" s="149"/>
      <c r="I114" s="149"/>
    </row>
    <row r="115">
      <c r="A115" s="145"/>
      <c r="B115" s="146"/>
      <c r="C115" s="146"/>
      <c r="D115" s="146"/>
      <c r="E115" s="147"/>
      <c r="F115" s="148"/>
      <c r="G115" s="149"/>
      <c r="H115" s="149"/>
      <c r="I115" s="149"/>
    </row>
    <row r="116">
      <c r="A116" s="145"/>
      <c r="B116" s="146"/>
      <c r="C116" s="146"/>
      <c r="D116" s="146"/>
      <c r="E116" s="147"/>
      <c r="F116" s="148"/>
      <c r="G116" s="149"/>
      <c r="H116" s="149"/>
      <c r="I116" s="149"/>
    </row>
    <row r="117">
      <c r="A117" s="145"/>
      <c r="B117" s="146"/>
      <c r="C117" s="146"/>
      <c r="D117" s="146"/>
      <c r="E117" s="147"/>
      <c r="F117" s="148"/>
      <c r="G117" s="149"/>
      <c r="H117" s="149"/>
      <c r="I117" s="149"/>
    </row>
    <row r="118">
      <c r="A118" s="145"/>
      <c r="B118" s="146"/>
      <c r="C118" s="146"/>
      <c r="D118" s="146"/>
      <c r="E118" s="150"/>
      <c r="F118" s="116"/>
      <c r="G118" s="151"/>
      <c r="H118" s="151"/>
      <c r="I118" s="151"/>
    </row>
    <row r="119">
      <c r="A119" s="145"/>
      <c r="B119" s="146"/>
      <c r="C119" s="146"/>
      <c r="D119" s="153"/>
      <c r="E119" s="154"/>
      <c r="F119" s="17"/>
      <c r="G119" s="151"/>
      <c r="H119" s="151"/>
      <c r="I119" s="155"/>
    </row>
    <row r="120">
      <c r="A120" s="145"/>
      <c r="B120" s="146"/>
      <c r="C120" s="146"/>
      <c r="D120" s="153"/>
      <c r="E120" s="154"/>
      <c r="F120" s="17"/>
      <c r="G120" s="151"/>
      <c r="H120" s="151"/>
      <c r="I120" s="156"/>
    </row>
    <row r="121">
      <c r="A121" s="145"/>
      <c r="B121" s="146"/>
      <c r="C121" s="146"/>
      <c r="D121" s="153"/>
      <c r="E121" s="157"/>
      <c r="F121" s="17"/>
      <c r="G121" s="156"/>
      <c r="H121" s="151"/>
      <c r="I121" s="155"/>
    </row>
    <row r="122">
      <c r="A122" s="145"/>
      <c r="B122" s="146"/>
      <c r="C122" s="146"/>
      <c r="D122" s="153"/>
      <c r="E122" s="157"/>
      <c r="F122" s="17"/>
      <c r="G122" s="156"/>
      <c r="H122" s="151"/>
      <c r="I122" s="155"/>
    </row>
    <row r="123">
      <c r="A123" s="145"/>
      <c r="B123" s="146"/>
      <c r="C123" s="146"/>
      <c r="D123" s="157"/>
      <c r="E123" s="157"/>
      <c r="F123" s="17"/>
      <c r="G123" s="156"/>
      <c r="H123" s="151"/>
      <c r="I123" s="155"/>
    </row>
    <row r="124">
      <c r="A124" s="145"/>
      <c r="B124" s="146"/>
      <c r="C124" s="146"/>
      <c r="D124" s="157"/>
      <c r="E124" s="157"/>
      <c r="F124" s="17"/>
      <c r="G124" s="156"/>
      <c r="H124" s="156"/>
      <c r="I124" s="155"/>
    </row>
    <row r="125">
      <c r="A125" s="145"/>
      <c r="B125" s="146"/>
      <c r="C125" s="146"/>
      <c r="D125" s="157"/>
      <c r="E125" s="154"/>
      <c r="F125" s="17"/>
      <c r="G125" s="156"/>
      <c r="H125" s="156"/>
      <c r="I125" s="155"/>
    </row>
    <row r="126">
      <c r="A126" s="145"/>
      <c r="B126" s="146"/>
      <c r="C126" s="146"/>
      <c r="D126" s="154"/>
      <c r="E126" s="157"/>
      <c r="F126" s="17"/>
      <c r="G126" s="156"/>
      <c r="H126" s="156"/>
      <c r="I126" s="155"/>
    </row>
    <row r="127">
      <c r="A127" s="145"/>
      <c r="B127" s="146"/>
      <c r="C127" s="146"/>
      <c r="D127" s="154"/>
      <c r="E127" s="154"/>
      <c r="F127" s="17"/>
      <c r="G127" s="156"/>
      <c r="H127" s="151"/>
      <c r="I127" s="155"/>
    </row>
    <row r="128">
      <c r="A128" s="145"/>
      <c r="B128" s="146"/>
      <c r="C128" s="146"/>
      <c r="D128" s="154"/>
      <c r="E128" s="154"/>
      <c r="F128" s="17"/>
      <c r="G128" s="156"/>
      <c r="H128" s="151"/>
      <c r="I128" s="155"/>
    </row>
    <row r="129">
      <c r="A129" s="145"/>
      <c r="B129" s="146"/>
      <c r="C129" s="146"/>
      <c r="D129" s="154"/>
      <c r="E129" s="154"/>
      <c r="F129" s="17"/>
      <c r="G129" s="156"/>
      <c r="H129" s="151"/>
      <c r="I129" s="155"/>
    </row>
    <row r="130">
      <c r="A130" s="145"/>
      <c r="B130" s="146"/>
      <c r="C130" s="146"/>
      <c r="D130" s="154"/>
      <c r="E130" s="154"/>
      <c r="F130" s="17"/>
      <c r="G130" s="151"/>
      <c r="H130" s="151"/>
      <c r="I130" s="155"/>
    </row>
    <row r="131">
      <c r="A131" s="145"/>
      <c r="B131" s="146"/>
      <c r="C131" s="146"/>
      <c r="D131" s="154"/>
      <c r="E131" s="154"/>
      <c r="F131" s="17"/>
      <c r="G131" s="151"/>
      <c r="H131" s="151"/>
      <c r="I131" s="155"/>
    </row>
    <row r="132">
      <c r="A132" s="145"/>
      <c r="B132" s="146"/>
      <c r="C132" s="146"/>
      <c r="D132" s="154"/>
      <c r="E132" s="154"/>
      <c r="F132" s="17"/>
      <c r="G132" s="151"/>
      <c r="H132" s="151"/>
      <c r="I132" s="155"/>
    </row>
    <row r="133">
      <c r="A133" s="145"/>
      <c r="B133" s="146"/>
      <c r="C133" s="146"/>
      <c r="D133" s="154"/>
      <c r="E133" s="154"/>
      <c r="F133" s="17"/>
      <c r="G133" s="151"/>
      <c r="H133" s="151"/>
      <c r="I133" s="155"/>
    </row>
    <row r="134">
      <c r="A134" s="145"/>
      <c r="B134" s="146"/>
      <c r="C134" s="146"/>
      <c r="D134" s="154"/>
      <c r="E134" s="154"/>
      <c r="F134" s="17"/>
      <c r="G134" s="151"/>
      <c r="H134" s="156"/>
      <c r="I134" s="155"/>
    </row>
    <row r="135">
      <c r="A135" s="145"/>
      <c r="B135" s="146"/>
      <c r="C135" s="146"/>
      <c r="D135" s="154"/>
      <c r="E135" s="154"/>
      <c r="F135" s="17"/>
      <c r="G135" s="151"/>
      <c r="H135" s="151"/>
      <c r="I135" s="155"/>
    </row>
    <row r="136">
      <c r="A136" s="145"/>
      <c r="B136" s="146"/>
      <c r="C136" s="146"/>
      <c r="D136" s="154"/>
      <c r="E136" s="154"/>
      <c r="F136" s="104"/>
      <c r="G136" s="156"/>
      <c r="H136" s="156"/>
      <c r="I136" s="156"/>
    </row>
    <row r="137">
      <c r="A137" s="145"/>
      <c r="B137" s="146"/>
      <c r="C137" s="146"/>
      <c r="D137" s="154"/>
      <c r="E137" s="147"/>
      <c r="F137" s="147"/>
      <c r="G137" s="149"/>
      <c r="H137" s="149"/>
      <c r="I137" s="149"/>
    </row>
    <row r="138">
      <c r="A138" s="145"/>
      <c r="B138" s="146"/>
      <c r="C138" s="146"/>
      <c r="D138" s="154"/>
      <c r="E138" s="147"/>
      <c r="F138" s="147"/>
      <c r="G138" s="149"/>
      <c r="H138" s="149"/>
      <c r="I138" s="149"/>
    </row>
    <row r="139">
      <c r="A139" s="145"/>
      <c r="B139" s="146"/>
      <c r="C139" s="146"/>
      <c r="D139" s="154"/>
      <c r="E139" s="147"/>
      <c r="F139" s="148"/>
      <c r="G139" s="149"/>
      <c r="H139" s="149"/>
      <c r="I139" s="149"/>
    </row>
    <row r="140">
      <c r="A140" s="145"/>
      <c r="B140" s="146"/>
      <c r="C140" s="146"/>
      <c r="D140" s="154"/>
      <c r="E140" s="147"/>
      <c r="F140" s="147"/>
      <c r="G140" s="149"/>
      <c r="H140" s="149"/>
      <c r="I140" s="149"/>
    </row>
    <row r="141">
      <c r="A141" s="145"/>
      <c r="B141" s="146"/>
      <c r="C141" s="146"/>
      <c r="D141" s="154"/>
      <c r="E141" s="147"/>
      <c r="F141" s="147"/>
      <c r="G141" s="149"/>
      <c r="H141" s="149"/>
      <c r="I141" s="149"/>
    </row>
    <row r="142">
      <c r="A142" s="145"/>
      <c r="B142" s="146"/>
      <c r="C142" s="146"/>
      <c r="D142" s="154"/>
      <c r="E142" s="147"/>
      <c r="F142" s="147"/>
      <c r="G142" s="149"/>
      <c r="H142" s="149"/>
      <c r="I142" s="149"/>
    </row>
    <row r="143">
      <c r="A143" s="145"/>
      <c r="B143" s="146"/>
      <c r="C143" s="146"/>
      <c r="D143" s="154"/>
      <c r="E143" s="147"/>
      <c r="F143" s="147"/>
      <c r="G143" s="149"/>
      <c r="H143" s="149"/>
      <c r="I143" s="149"/>
    </row>
    <row r="144">
      <c r="A144" s="145"/>
      <c r="B144" s="146"/>
      <c r="C144" s="146"/>
      <c r="D144" s="154"/>
      <c r="E144" s="147"/>
      <c r="F144" s="147"/>
      <c r="G144" s="149"/>
      <c r="H144" s="149"/>
      <c r="I144" s="149"/>
    </row>
    <row r="145">
      <c r="A145" s="145"/>
      <c r="B145" s="146"/>
      <c r="C145" s="146"/>
      <c r="D145" s="154"/>
      <c r="E145" s="147"/>
      <c r="F145" s="147"/>
      <c r="G145" s="149"/>
      <c r="H145" s="149"/>
      <c r="I145" s="149"/>
    </row>
    <row r="146">
      <c r="A146" s="145"/>
      <c r="B146" s="146"/>
      <c r="C146" s="146"/>
      <c r="D146" s="154"/>
      <c r="E146" s="147"/>
      <c r="F146" s="147"/>
      <c r="G146" s="149"/>
      <c r="H146" s="149"/>
      <c r="I146" s="149"/>
    </row>
    <row r="147">
      <c r="A147" s="145"/>
      <c r="B147" s="146"/>
      <c r="C147" s="146"/>
      <c r="D147" s="154"/>
      <c r="E147" s="147"/>
      <c r="F147" s="147"/>
      <c r="G147" s="149"/>
      <c r="H147" s="149"/>
      <c r="I147" s="149"/>
    </row>
    <row r="148">
      <c r="A148" s="145"/>
      <c r="B148" s="146"/>
      <c r="C148" s="146"/>
      <c r="D148" s="154"/>
      <c r="E148" s="147"/>
      <c r="F148" s="147"/>
      <c r="G148" s="149"/>
      <c r="H148" s="149"/>
      <c r="I148" s="149"/>
    </row>
    <row r="149">
      <c r="A149" s="145"/>
      <c r="B149" s="146"/>
      <c r="C149" s="146"/>
      <c r="D149" s="154"/>
      <c r="E149" s="150"/>
      <c r="F149" s="116"/>
      <c r="G149" s="151"/>
      <c r="H149" s="151"/>
      <c r="I149" s="151"/>
    </row>
    <row r="150">
      <c r="A150" s="145"/>
      <c r="B150" s="146"/>
      <c r="C150" s="146"/>
      <c r="D150" s="154"/>
      <c r="E150" s="147"/>
      <c r="F150" s="147"/>
      <c r="G150" s="149"/>
      <c r="H150" s="156"/>
      <c r="I150" s="156"/>
    </row>
    <row r="151">
      <c r="A151" s="145"/>
      <c r="B151" s="146"/>
      <c r="C151" s="146"/>
      <c r="D151" s="154"/>
      <c r="E151" s="147"/>
      <c r="F151" s="147"/>
      <c r="G151" s="149"/>
      <c r="H151" s="156"/>
      <c r="I151" s="156"/>
    </row>
    <row r="152">
      <c r="A152" s="145"/>
      <c r="B152" s="146"/>
      <c r="C152" s="146"/>
      <c r="D152" s="154"/>
      <c r="E152" s="147"/>
      <c r="F152" s="147"/>
      <c r="G152" s="149"/>
      <c r="H152" s="156"/>
      <c r="I152" s="156"/>
    </row>
    <row r="153">
      <c r="A153" s="145"/>
      <c r="B153" s="146"/>
      <c r="C153" s="146"/>
      <c r="D153" s="154"/>
      <c r="E153" s="147"/>
      <c r="F153" s="147"/>
      <c r="G153" s="149"/>
      <c r="H153" s="156"/>
      <c r="I153" s="156"/>
    </row>
    <row r="154">
      <c r="A154" s="145"/>
      <c r="B154" s="146"/>
      <c r="C154" s="146"/>
      <c r="D154" s="154"/>
      <c r="E154" s="147"/>
      <c r="F154" s="147"/>
      <c r="G154" s="149"/>
      <c r="H154" s="156"/>
      <c r="I154" s="156"/>
    </row>
    <row r="155">
      <c r="A155" s="145"/>
      <c r="B155" s="146"/>
      <c r="C155" s="146"/>
      <c r="D155" s="154"/>
      <c r="E155" s="147"/>
      <c r="F155" s="147"/>
      <c r="G155" s="149"/>
      <c r="H155" s="156"/>
      <c r="I155" s="156"/>
    </row>
    <row r="156">
      <c r="A156" s="145"/>
      <c r="B156" s="146"/>
      <c r="C156" s="146"/>
      <c r="D156" s="154"/>
      <c r="E156" s="147"/>
      <c r="F156" s="148"/>
      <c r="G156" s="149"/>
      <c r="H156" s="156"/>
      <c r="I156" s="156"/>
    </row>
    <row r="157">
      <c r="A157" s="145"/>
      <c r="B157" s="146"/>
      <c r="C157" s="146"/>
      <c r="D157" s="154"/>
      <c r="E157" s="147"/>
      <c r="F157" s="147"/>
      <c r="G157" s="149"/>
      <c r="H157" s="156"/>
      <c r="I157" s="156"/>
    </row>
    <row r="158">
      <c r="A158" s="145"/>
      <c r="B158" s="146"/>
      <c r="C158" s="146"/>
      <c r="D158" s="154"/>
      <c r="E158" s="166"/>
      <c r="F158" s="116"/>
      <c r="G158" s="151"/>
      <c r="H158" s="156"/>
      <c r="I158" s="156"/>
    </row>
    <row r="159">
      <c r="A159" s="145"/>
      <c r="B159" s="146"/>
      <c r="C159" s="146"/>
      <c r="D159" s="154"/>
      <c r="E159" s="147"/>
      <c r="F159" s="147"/>
      <c r="G159" s="149"/>
      <c r="H159" s="156"/>
      <c r="I159" s="156"/>
    </row>
    <row r="160">
      <c r="A160" s="145"/>
      <c r="B160" s="146"/>
      <c r="C160" s="146"/>
      <c r="D160" s="154"/>
      <c r="E160" s="147"/>
      <c r="F160" s="147"/>
      <c r="G160" s="149"/>
      <c r="H160" s="156"/>
      <c r="I160" s="156"/>
    </row>
    <row r="161">
      <c r="A161" s="145"/>
      <c r="B161" s="146"/>
      <c r="C161" s="146"/>
      <c r="D161" s="154"/>
      <c r="E161" s="147"/>
      <c r="F161" s="147"/>
      <c r="G161" s="149"/>
      <c r="H161" s="156"/>
      <c r="I161" s="156"/>
    </row>
    <row r="162">
      <c r="A162" s="145"/>
      <c r="B162" s="146"/>
      <c r="C162" s="146"/>
      <c r="D162" s="168"/>
      <c r="E162" s="147"/>
      <c r="F162" s="147"/>
      <c r="G162" s="149"/>
      <c r="H162" s="156"/>
      <c r="I162" s="156"/>
    </row>
    <row r="163">
      <c r="A163" s="145"/>
      <c r="B163" s="146"/>
      <c r="C163" s="146"/>
      <c r="D163" s="168"/>
      <c r="E163" s="147"/>
      <c r="F163" s="147"/>
      <c r="G163" s="149"/>
      <c r="H163" s="156"/>
      <c r="I163" s="156"/>
    </row>
    <row r="164">
      <c r="A164" s="145"/>
      <c r="B164" s="146"/>
      <c r="C164" s="146"/>
      <c r="D164" s="168"/>
      <c r="E164" s="147"/>
      <c r="F164" s="147"/>
      <c r="G164" s="149"/>
      <c r="H164" s="156"/>
      <c r="I164" s="156"/>
    </row>
    <row r="165">
      <c r="A165" s="145"/>
      <c r="B165" s="146"/>
      <c r="C165" s="146"/>
      <c r="D165" s="168"/>
      <c r="E165" s="147"/>
      <c r="F165" s="147"/>
      <c r="G165" s="149"/>
      <c r="H165" s="156"/>
      <c r="I165" s="156"/>
    </row>
    <row r="166">
      <c r="A166" s="145"/>
      <c r="B166" s="146"/>
      <c r="C166" s="146"/>
      <c r="D166" s="168"/>
      <c r="E166" s="147"/>
      <c r="F166" s="147"/>
      <c r="G166" s="149"/>
      <c r="H166" s="156"/>
      <c r="I166" s="156"/>
    </row>
    <row r="167">
      <c r="A167" s="145"/>
      <c r="B167" s="146"/>
      <c r="C167" s="146"/>
      <c r="D167" s="168"/>
      <c r="E167" s="166"/>
      <c r="F167" s="170"/>
      <c r="G167" s="151"/>
      <c r="H167" s="156"/>
      <c r="I167" s="156"/>
    </row>
    <row r="168">
      <c r="A168" s="145"/>
      <c r="B168" s="146"/>
      <c r="C168" s="146"/>
      <c r="D168" s="168"/>
      <c r="E168" s="147"/>
      <c r="F168" s="147"/>
      <c r="G168" s="149"/>
      <c r="H168" s="156"/>
      <c r="I168" s="156"/>
    </row>
    <row r="169">
      <c r="A169" s="145"/>
      <c r="B169" s="146"/>
      <c r="C169" s="146"/>
      <c r="D169" s="168"/>
      <c r="E169" s="147"/>
      <c r="F169" s="147"/>
      <c r="G169" s="149"/>
      <c r="H169" s="156"/>
      <c r="I169" s="156"/>
    </row>
    <row r="170">
      <c r="A170" s="145"/>
      <c r="B170" s="146"/>
      <c r="C170" s="146"/>
      <c r="D170" s="168"/>
      <c r="E170" s="147"/>
      <c r="F170" s="147"/>
      <c r="G170" s="149"/>
      <c r="H170" s="156"/>
      <c r="I170" s="156"/>
    </row>
    <row r="171">
      <c r="A171" s="145"/>
      <c r="B171" s="146"/>
      <c r="C171" s="146"/>
      <c r="D171" s="168"/>
      <c r="E171" s="147"/>
      <c r="F171" s="147"/>
      <c r="G171" s="149"/>
      <c r="H171" s="156"/>
      <c r="I171" s="156"/>
    </row>
  </sheetData>
  <mergeCells count="1">
    <mergeCell ref="A1:I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0.38"/>
    <col customWidth="1" min="6" max="6" width="25.75"/>
    <col customWidth="1" min="7" max="7" width="13.5"/>
    <col customWidth="1" min="8" max="14" width="6.63"/>
    <col customWidth="1" min="15" max="15" width="5.63"/>
    <col customWidth="1" min="16" max="17" width="10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1</v>
      </c>
      <c r="B2" s="2"/>
      <c r="C2" s="2"/>
      <c r="D2" s="3" t="s">
        <v>2</v>
      </c>
      <c r="E2" s="2"/>
      <c r="F2" s="4"/>
      <c r="G2" s="5" t="s">
        <v>3</v>
      </c>
      <c r="H2" s="6"/>
      <c r="I2" s="6"/>
      <c r="J2" s="6"/>
      <c r="K2" s="6"/>
      <c r="L2" s="6"/>
      <c r="M2" s="6"/>
      <c r="N2" s="9" t="s">
        <v>5</v>
      </c>
      <c r="O2" s="2"/>
      <c r="P2" s="4"/>
      <c r="R2" s="11" t="s">
        <v>10</v>
      </c>
      <c r="S2" s="2"/>
      <c r="T2" s="2"/>
      <c r="U2" s="2"/>
      <c r="V2" s="4"/>
    </row>
    <row r="3">
      <c r="A3" s="14" t="s">
        <v>14</v>
      </c>
      <c r="B3" s="2"/>
      <c r="C3" s="2"/>
      <c r="D3" s="15" t="s">
        <v>18</v>
      </c>
      <c r="E3" s="2"/>
      <c r="F3" s="4"/>
      <c r="G3" s="17">
        <v>2.0</v>
      </c>
      <c r="H3" s="20">
        <v>30.0</v>
      </c>
      <c r="I3" s="2"/>
      <c r="J3" s="4"/>
      <c r="K3" s="20">
        <v>36.0</v>
      </c>
      <c r="L3" s="2"/>
      <c r="M3" s="4"/>
      <c r="N3" s="22">
        <v>51.0</v>
      </c>
      <c r="O3" s="2"/>
      <c r="P3" s="4"/>
      <c r="R3" s="24" t="s">
        <v>1</v>
      </c>
      <c r="S3" s="11" t="s">
        <v>23</v>
      </c>
      <c r="T3" s="2"/>
      <c r="U3" s="2"/>
      <c r="V3" s="4"/>
    </row>
    <row r="4">
      <c r="A4" s="14" t="s">
        <v>14</v>
      </c>
      <c r="B4" s="2"/>
      <c r="C4" s="2"/>
      <c r="D4" s="15" t="s">
        <v>28</v>
      </c>
      <c r="E4" s="2"/>
      <c r="F4" s="4"/>
      <c r="G4" s="17">
        <v>2.0</v>
      </c>
      <c r="H4" s="20">
        <v>60.0</v>
      </c>
      <c r="I4" s="2"/>
      <c r="J4" s="4"/>
      <c r="K4" s="20">
        <v>72.0</v>
      </c>
      <c r="L4" s="2"/>
      <c r="M4" s="4"/>
      <c r="N4" s="32">
        <v>102.0</v>
      </c>
      <c r="O4" s="2"/>
      <c r="P4" s="4"/>
      <c r="R4" s="34"/>
      <c r="S4" s="36" t="s">
        <v>36</v>
      </c>
      <c r="T4" s="38"/>
      <c r="U4" s="38"/>
      <c r="V4" s="38"/>
    </row>
    <row r="5">
      <c r="A5" s="14" t="s">
        <v>14</v>
      </c>
      <c r="B5" s="2"/>
      <c r="C5" s="2"/>
      <c r="D5" s="15" t="s">
        <v>38</v>
      </c>
      <c r="E5" s="2"/>
      <c r="F5" s="4"/>
      <c r="G5" s="17">
        <v>2.0</v>
      </c>
      <c r="H5" s="20">
        <v>240.0</v>
      </c>
      <c r="I5" s="2"/>
      <c r="J5" s="4"/>
      <c r="K5" s="20">
        <v>288.0</v>
      </c>
      <c r="L5" s="2"/>
      <c r="M5" s="4"/>
      <c r="N5" s="22">
        <v>288.0</v>
      </c>
      <c r="O5" s="2"/>
      <c r="P5" s="4"/>
      <c r="R5" s="34"/>
      <c r="S5" s="46" t="s">
        <v>44</v>
      </c>
    </row>
    <row r="6">
      <c r="A6" s="14" t="s">
        <v>14</v>
      </c>
      <c r="B6" s="2"/>
      <c r="C6" s="2"/>
      <c r="D6" s="15" t="s">
        <v>52</v>
      </c>
      <c r="E6" s="2"/>
      <c r="F6" s="4"/>
      <c r="G6" s="17">
        <v>2.0</v>
      </c>
      <c r="H6" s="20">
        <v>28.0</v>
      </c>
      <c r="I6" s="2"/>
      <c r="J6" s="4"/>
      <c r="K6" s="20">
        <v>33.6</v>
      </c>
      <c r="L6" s="2"/>
      <c r="M6" s="4"/>
      <c r="N6" s="22">
        <v>47.6</v>
      </c>
      <c r="O6" s="2"/>
      <c r="P6" s="4"/>
      <c r="R6" s="34"/>
      <c r="S6" s="46" t="s">
        <v>14</v>
      </c>
    </row>
    <row r="7">
      <c r="A7" s="14" t="s">
        <v>14</v>
      </c>
      <c r="B7" s="2"/>
      <c r="C7" s="2"/>
      <c r="D7" s="15" t="s">
        <v>60</v>
      </c>
      <c r="E7" s="2"/>
      <c r="F7" s="4"/>
      <c r="G7" s="17">
        <v>2.0</v>
      </c>
      <c r="H7" s="20">
        <v>7.0</v>
      </c>
      <c r="I7" s="2"/>
      <c r="J7" s="4"/>
      <c r="K7" s="20">
        <v>8.4</v>
      </c>
      <c r="L7" s="2"/>
      <c r="M7" s="4"/>
      <c r="N7" s="22">
        <v>11.9</v>
      </c>
      <c r="O7" s="2"/>
      <c r="P7" s="4"/>
      <c r="R7" s="34"/>
      <c r="S7" s="46" t="s">
        <v>64</v>
      </c>
    </row>
    <row r="8">
      <c r="A8" s="55" t="s">
        <v>14</v>
      </c>
      <c r="B8" s="2"/>
      <c r="C8" s="2"/>
      <c r="D8" s="58" t="s">
        <v>69</v>
      </c>
      <c r="E8" s="2"/>
      <c r="F8" s="4"/>
      <c r="G8" s="59">
        <v>4.0</v>
      </c>
      <c r="H8" s="171">
        <v>520.0</v>
      </c>
      <c r="I8" s="2"/>
      <c r="J8" s="4"/>
      <c r="K8" s="61">
        <v>572.0</v>
      </c>
      <c r="L8" s="2"/>
      <c r="M8" s="4"/>
      <c r="N8" s="63">
        <v>572.0</v>
      </c>
      <c r="O8" s="2"/>
      <c r="P8" s="4"/>
      <c r="R8" s="65"/>
      <c r="S8" s="66" t="s">
        <v>90</v>
      </c>
      <c r="T8" s="67"/>
      <c r="U8" s="67"/>
      <c r="V8" s="67"/>
    </row>
    <row r="9">
      <c r="A9" s="14" t="s">
        <v>14</v>
      </c>
      <c r="B9" s="2"/>
      <c r="C9" s="2"/>
      <c r="D9" s="15" t="s">
        <v>99</v>
      </c>
      <c r="E9" s="2"/>
      <c r="F9" s="4"/>
      <c r="G9" s="17">
        <v>2.0</v>
      </c>
      <c r="H9" s="20">
        <v>30.0</v>
      </c>
      <c r="I9" s="2"/>
      <c r="J9" s="4"/>
      <c r="K9" s="20">
        <v>36.0</v>
      </c>
      <c r="L9" s="2"/>
      <c r="M9" s="4"/>
      <c r="N9" s="32">
        <v>51.0</v>
      </c>
      <c r="O9" s="2"/>
      <c r="P9" s="4"/>
      <c r="R9" s="24" t="s">
        <v>2</v>
      </c>
      <c r="S9" s="70" t="s">
        <v>114</v>
      </c>
      <c r="T9" s="38"/>
      <c r="U9" s="38"/>
      <c r="V9" s="71"/>
    </row>
    <row r="10">
      <c r="A10" s="14" t="s">
        <v>14</v>
      </c>
      <c r="B10" s="2"/>
      <c r="C10" s="2"/>
      <c r="D10" s="15" t="s">
        <v>121</v>
      </c>
      <c r="E10" s="2"/>
      <c r="F10" s="4"/>
      <c r="G10" s="17">
        <v>4.0</v>
      </c>
      <c r="H10" s="20">
        <v>20.0</v>
      </c>
      <c r="I10" s="2"/>
      <c r="J10" s="4"/>
      <c r="K10" s="20">
        <v>28.0</v>
      </c>
      <c r="L10" s="2"/>
      <c r="M10" s="4"/>
      <c r="N10" s="22">
        <v>38.0</v>
      </c>
      <c r="O10" s="2"/>
      <c r="P10" s="4"/>
      <c r="R10" s="34"/>
      <c r="S10" s="74"/>
      <c r="V10" s="75"/>
    </row>
    <row r="11">
      <c r="A11" s="14" t="s">
        <v>14</v>
      </c>
      <c r="B11" s="2"/>
      <c r="C11" s="2"/>
      <c r="D11" s="15" t="s">
        <v>136</v>
      </c>
      <c r="E11" s="2"/>
      <c r="F11" s="4"/>
      <c r="G11" s="17">
        <v>2.0</v>
      </c>
      <c r="H11" s="20">
        <v>10.0</v>
      </c>
      <c r="I11" s="2"/>
      <c r="J11" s="4"/>
      <c r="K11" s="20">
        <v>12.0</v>
      </c>
      <c r="L11" s="2"/>
      <c r="M11" s="4"/>
      <c r="N11" s="22">
        <v>22.0</v>
      </c>
      <c r="O11" s="2"/>
      <c r="P11" s="4"/>
      <c r="R11" s="65"/>
      <c r="S11" s="76"/>
      <c r="T11" s="67"/>
      <c r="U11" s="67"/>
      <c r="V11" s="78"/>
    </row>
    <row r="12">
      <c r="A12" s="14" t="s">
        <v>14</v>
      </c>
      <c r="B12" s="2"/>
      <c r="C12" s="2"/>
      <c r="D12" s="15" t="s">
        <v>155</v>
      </c>
      <c r="E12" s="2"/>
      <c r="F12" s="4"/>
      <c r="G12" s="17">
        <v>1.0</v>
      </c>
      <c r="H12" s="20">
        <v>700.0</v>
      </c>
      <c r="I12" s="2"/>
      <c r="J12" s="4"/>
      <c r="K12" s="20">
        <v>800.0</v>
      </c>
      <c r="L12" s="2"/>
      <c r="M12" s="4"/>
      <c r="N12" s="22">
        <v>800.0</v>
      </c>
      <c r="O12" s="2"/>
      <c r="P12" s="4"/>
      <c r="R12" s="84"/>
      <c r="S12" s="11"/>
      <c r="T12" s="85"/>
      <c r="U12" s="85"/>
      <c r="V12" s="87"/>
    </row>
    <row r="13">
      <c r="A13" s="14" t="s">
        <v>14</v>
      </c>
      <c r="B13" s="2"/>
      <c r="C13" s="2"/>
      <c r="D13" s="15" t="s">
        <v>159</v>
      </c>
      <c r="E13" s="2"/>
      <c r="F13" s="4"/>
      <c r="G13" s="17">
        <v>1.0</v>
      </c>
      <c r="H13" s="20">
        <v>60.0</v>
      </c>
      <c r="I13" s="2"/>
      <c r="J13" s="4"/>
      <c r="K13" s="20">
        <v>67.0</v>
      </c>
      <c r="L13" s="2"/>
      <c r="M13" s="4"/>
      <c r="N13" s="22">
        <v>67.0</v>
      </c>
      <c r="O13" s="2"/>
      <c r="P13" s="4"/>
      <c r="R13" s="84"/>
      <c r="S13" s="11"/>
      <c r="T13" s="85"/>
      <c r="U13" s="85"/>
      <c r="V13" s="87"/>
    </row>
    <row r="14">
      <c r="A14" s="14" t="s">
        <v>14</v>
      </c>
      <c r="B14" s="2"/>
      <c r="C14" s="2"/>
      <c r="D14" s="15" t="s">
        <v>162</v>
      </c>
      <c r="E14" s="2"/>
      <c r="F14" s="4"/>
      <c r="G14" s="17">
        <v>1.0</v>
      </c>
      <c r="H14" s="20">
        <v>40.0</v>
      </c>
      <c r="I14" s="2"/>
      <c r="J14" s="4"/>
      <c r="K14" s="32">
        <v>44.0</v>
      </c>
      <c r="L14" s="2"/>
      <c r="M14" s="4"/>
      <c r="N14" s="22">
        <v>50.0</v>
      </c>
      <c r="O14" s="2"/>
      <c r="P14" s="4"/>
      <c r="R14" s="84"/>
      <c r="S14" s="11"/>
      <c r="T14" s="85"/>
      <c r="U14" s="85"/>
      <c r="V14" s="87"/>
    </row>
    <row r="15">
      <c r="A15" s="14" t="s">
        <v>14</v>
      </c>
      <c r="B15" s="2"/>
      <c r="C15" s="2"/>
      <c r="D15" s="15" t="s">
        <v>164</v>
      </c>
      <c r="E15" s="2"/>
      <c r="F15" s="4"/>
      <c r="G15" s="17">
        <v>4.0</v>
      </c>
      <c r="H15" s="20">
        <v>30.0</v>
      </c>
      <c r="I15" s="2"/>
      <c r="J15" s="4"/>
      <c r="K15" s="20">
        <v>42.0</v>
      </c>
      <c r="L15" s="2"/>
      <c r="M15" s="4"/>
      <c r="N15" s="22">
        <v>42.0</v>
      </c>
      <c r="O15" s="2"/>
      <c r="P15" s="4"/>
      <c r="R15" s="89" t="s">
        <v>3</v>
      </c>
      <c r="S15" s="11" t="s">
        <v>7</v>
      </c>
      <c r="T15" s="85"/>
      <c r="U15" s="85"/>
      <c r="V15" s="87"/>
    </row>
    <row r="16">
      <c r="A16" s="14" t="s">
        <v>14</v>
      </c>
      <c r="B16" s="2"/>
      <c r="C16" s="2"/>
      <c r="D16" s="15" t="s">
        <v>189</v>
      </c>
      <c r="E16" s="2"/>
      <c r="F16" s="4"/>
      <c r="G16" s="17">
        <v>1.0</v>
      </c>
      <c r="H16" s="32">
        <v>200.0</v>
      </c>
      <c r="I16" s="2"/>
      <c r="J16" s="4"/>
      <c r="K16" s="32">
        <v>240.0</v>
      </c>
      <c r="L16" s="2"/>
      <c r="M16" s="4"/>
      <c r="N16" s="22">
        <v>210.0</v>
      </c>
      <c r="O16" s="2"/>
      <c r="P16" s="4"/>
      <c r="R16" s="89" t="s">
        <v>5</v>
      </c>
      <c r="S16" s="11" t="s">
        <v>461</v>
      </c>
      <c r="T16" s="2"/>
      <c r="U16" s="2"/>
      <c r="V16" s="4"/>
    </row>
    <row r="18">
      <c r="A18" s="14" t="s">
        <v>14</v>
      </c>
      <c r="B18" s="2"/>
      <c r="C18" s="2"/>
      <c r="D18" s="15" t="s">
        <v>165</v>
      </c>
      <c r="E18" s="2"/>
      <c r="F18" s="4"/>
      <c r="G18" s="90">
        <v>10.0</v>
      </c>
      <c r="H18" s="32">
        <v>55.0</v>
      </c>
      <c r="I18" s="2"/>
      <c r="J18" s="4"/>
      <c r="K18" s="32">
        <v>65.0</v>
      </c>
      <c r="L18" s="2"/>
      <c r="M18" s="4"/>
      <c r="N18" s="32">
        <v>80.0</v>
      </c>
      <c r="O18" s="2"/>
      <c r="P18" s="4"/>
    </row>
    <row r="19">
      <c r="A19" s="91"/>
      <c r="B19" s="92"/>
      <c r="C19" s="92"/>
      <c r="D19" s="93"/>
      <c r="E19" s="67"/>
      <c r="F19" s="67"/>
      <c r="G19" s="95" t="s">
        <v>167</v>
      </c>
      <c r="H19" s="96"/>
      <c r="I19" s="96"/>
      <c r="J19" s="96"/>
      <c r="K19" s="98"/>
      <c r="L19" s="38"/>
      <c r="M19" s="71"/>
      <c r="N19" s="96">
        <f>SUM(N3:P18)</f>
        <v>2432.5</v>
      </c>
      <c r="O19" s="67"/>
      <c r="P19" s="67"/>
      <c r="R19" s="174" t="s">
        <v>464</v>
      </c>
      <c r="S19" s="175"/>
      <c r="T19" s="175"/>
    </row>
    <row r="20">
      <c r="A20" s="100" t="s">
        <v>170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3" t="s">
        <v>1</v>
      </c>
      <c r="B21" s="2"/>
      <c r="C21" s="2"/>
      <c r="D21" s="3" t="s">
        <v>2</v>
      </c>
      <c r="E21" s="2"/>
      <c r="F21" s="4"/>
      <c r="G21" s="5" t="s">
        <v>3</v>
      </c>
      <c r="H21" s="6"/>
      <c r="I21" s="6"/>
      <c r="J21" s="6"/>
      <c r="K21" s="6"/>
      <c r="L21" s="6"/>
      <c r="M21" s="6"/>
      <c r="N21" s="9" t="s">
        <v>5</v>
      </c>
      <c r="O21" s="2"/>
      <c r="P21" s="4"/>
    </row>
    <row r="22">
      <c r="A22" s="14" t="s">
        <v>177</v>
      </c>
      <c r="B22" s="2"/>
      <c r="C22" s="2"/>
      <c r="D22" s="15" t="s">
        <v>155</v>
      </c>
      <c r="E22" s="2"/>
      <c r="F22" s="4"/>
      <c r="G22" s="17">
        <v>1.0</v>
      </c>
      <c r="H22" s="20">
        <v>700.0</v>
      </c>
      <c r="I22" s="2"/>
      <c r="J22" s="4"/>
      <c r="K22" s="20">
        <v>800.0</v>
      </c>
      <c r="L22" s="2"/>
      <c r="M22" s="4"/>
      <c r="N22" s="22">
        <v>800.0</v>
      </c>
      <c r="O22" s="2"/>
      <c r="P22" s="4"/>
    </row>
    <row r="23">
      <c r="A23" s="14" t="s">
        <v>14</v>
      </c>
      <c r="B23" s="2"/>
      <c r="C23" s="2"/>
      <c r="D23" s="101" t="s">
        <v>178</v>
      </c>
      <c r="E23" s="2"/>
      <c r="F23" s="4"/>
      <c r="G23" s="17">
        <v>1.0</v>
      </c>
      <c r="H23" s="102">
        <v>150.0</v>
      </c>
      <c r="I23" s="2"/>
      <c r="J23" s="4"/>
      <c r="K23" s="102">
        <v>165.0</v>
      </c>
      <c r="L23" s="2"/>
      <c r="M23" s="4"/>
      <c r="N23" s="102">
        <v>165.0</v>
      </c>
      <c r="O23" s="2"/>
      <c r="P23" s="4"/>
    </row>
    <row r="24">
      <c r="A24" s="14" t="s">
        <v>179</v>
      </c>
      <c r="B24" s="2"/>
      <c r="C24" s="2"/>
      <c r="D24" s="103" t="s">
        <v>180</v>
      </c>
      <c r="E24" s="2"/>
      <c r="F24" s="4"/>
      <c r="G24" s="104">
        <v>1.0</v>
      </c>
      <c r="H24" s="102">
        <v>79.99</v>
      </c>
      <c r="I24" s="2"/>
      <c r="J24" s="4"/>
      <c r="K24" s="102">
        <v>90.0</v>
      </c>
      <c r="L24" s="2"/>
      <c r="M24" s="4"/>
      <c r="N24" s="102">
        <v>120.0</v>
      </c>
      <c r="O24" s="2"/>
      <c r="P24" s="4"/>
    </row>
    <row r="25">
      <c r="A25" s="14" t="s">
        <v>179</v>
      </c>
      <c r="B25" s="2"/>
      <c r="C25" s="2"/>
      <c r="D25" s="103" t="s">
        <v>185</v>
      </c>
      <c r="E25" s="2"/>
      <c r="F25" s="4"/>
      <c r="G25" s="104">
        <v>1.0</v>
      </c>
      <c r="H25" s="102">
        <v>384.93</v>
      </c>
      <c r="I25" s="2"/>
      <c r="J25" s="4"/>
      <c r="K25" s="102">
        <v>400.0</v>
      </c>
      <c r="L25" s="2"/>
      <c r="M25" s="4"/>
      <c r="N25" s="102">
        <v>420.0</v>
      </c>
      <c r="O25" s="2"/>
      <c r="P25" s="4"/>
    </row>
    <row r="26">
      <c r="A26" s="14" t="s">
        <v>179</v>
      </c>
      <c r="B26" s="2"/>
      <c r="C26" s="2"/>
      <c r="D26" s="101" t="s">
        <v>188</v>
      </c>
      <c r="E26" s="2"/>
      <c r="F26" s="4"/>
      <c r="G26" s="104">
        <v>1.0</v>
      </c>
      <c r="H26" s="102">
        <v>60.0</v>
      </c>
      <c r="I26" s="2"/>
      <c r="J26" s="4"/>
      <c r="K26" s="102">
        <v>70.0</v>
      </c>
      <c r="L26" s="2"/>
      <c r="M26" s="4"/>
      <c r="N26" s="106">
        <v>90.0</v>
      </c>
      <c r="O26" s="2"/>
      <c r="P26" s="4"/>
    </row>
    <row r="27">
      <c r="A27" s="118" t="s">
        <v>179</v>
      </c>
      <c r="B27" s="2"/>
      <c r="C27" s="2"/>
      <c r="D27" s="119" t="s">
        <v>202</v>
      </c>
      <c r="E27" s="2"/>
      <c r="F27" s="4"/>
      <c r="G27" s="104">
        <v>1.0</v>
      </c>
      <c r="H27" s="120"/>
      <c r="I27" s="2"/>
      <c r="J27" s="4"/>
      <c r="K27" s="120"/>
      <c r="L27" s="2"/>
      <c r="M27" s="4"/>
      <c r="N27" s="106">
        <v>750.0</v>
      </c>
      <c r="O27" s="2"/>
      <c r="P27" s="4"/>
    </row>
    <row r="28">
      <c r="A28" s="111" t="s">
        <v>14</v>
      </c>
      <c r="B28" s="2"/>
      <c r="C28" s="2"/>
      <c r="D28" s="115" t="s">
        <v>199</v>
      </c>
      <c r="E28" s="2"/>
      <c r="F28" s="4"/>
      <c r="G28" s="116">
        <v>1.0</v>
      </c>
      <c r="H28" s="117">
        <v>475.0</v>
      </c>
      <c r="I28" s="2"/>
      <c r="J28" s="4"/>
      <c r="K28" s="117">
        <f>475*1.1</f>
        <v>522.5</v>
      </c>
      <c r="L28" s="2"/>
      <c r="M28" s="4"/>
      <c r="N28" s="117">
        <v>600.0</v>
      </c>
      <c r="O28" s="2"/>
      <c r="P28" s="4"/>
    </row>
    <row r="29">
      <c r="A29" s="177"/>
      <c r="B29" s="178"/>
      <c r="C29" s="178"/>
      <c r="D29" s="179"/>
      <c r="E29" s="178"/>
      <c r="F29" s="180"/>
      <c r="G29" s="181"/>
      <c r="H29" s="182"/>
      <c r="I29" s="178"/>
      <c r="J29" s="180"/>
      <c r="K29" s="183"/>
      <c r="L29" s="184"/>
      <c r="M29" s="185"/>
      <c r="N29" s="186"/>
      <c r="O29" s="178"/>
      <c r="P29" s="180"/>
    </row>
    <row r="30">
      <c r="A30" s="91"/>
      <c r="B30" s="92"/>
      <c r="C30" s="92"/>
      <c r="D30" s="93"/>
      <c r="E30" s="67"/>
      <c r="F30" s="67"/>
      <c r="G30" s="95" t="s">
        <v>167</v>
      </c>
      <c r="H30" s="110"/>
      <c r="I30" s="110"/>
      <c r="J30" s="110"/>
      <c r="K30" s="110"/>
      <c r="L30" s="110"/>
      <c r="M30" s="110"/>
      <c r="N30" s="110">
        <f>sum(N22:P29)</f>
        <v>2945</v>
      </c>
      <c r="O30" s="67"/>
      <c r="P30" s="67"/>
    </row>
    <row r="31">
      <c r="A31" s="100" t="s">
        <v>195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3" t="s">
        <v>1</v>
      </c>
      <c r="B32" s="2"/>
      <c r="C32" s="2"/>
      <c r="D32" s="3" t="s">
        <v>2</v>
      </c>
      <c r="E32" s="2"/>
      <c r="F32" s="4"/>
      <c r="G32" s="5" t="s">
        <v>3</v>
      </c>
      <c r="H32" s="113" t="s">
        <v>197</v>
      </c>
      <c r="I32" s="2"/>
      <c r="J32" s="4"/>
      <c r="K32" s="114" t="s">
        <v>198</v>
      </c>
      <c r="L32" s="2"/>
      <c r="M32" s="4"/>
      <c r="N32" s="9" t="s">
        <v>5</v>
      </c>
      <c r="O32" s="2"/>
      <c r="P32" s="4"/>
    </row>
    <row r="33">
      <c r="A33" s="14" t="s">
        <v>177</v>
      </c>
      <c r="B33" s="2"/>
      <c r="C33" s="2"/>
      <c r="D33" s="167" t="s">
        <v>469</v>
      </c>
      <c r="E33" s="2"/>
      <c r="F33" s="4"/>
      <c r="G33" s="104"/>
      <c r="H33" s="102"/>
      <c r="I33" s="2"/>
      <c r="J33" s="4"/>
      <c r="K33" s="102"/>
      <c r="L33" s="2"/>
      <c r="M33" s="4"/>
      <c r="N33" s="188">
        <v>1872.5</v>
      </c>
      <c r="O33" s="38"/>
      <c r="P33" s="71"/>
    </row>
    <row r="34">
      <c r="A34" s="14" t="s">
        <v>177</v>
      </c>
      <c r="B34" s="2"/>
      <c r="C34" s="2"/>
      <c r="D34" s="167" t="s">
        <v>470</v>
      </c>
      <c r="E34" s="2"/>
      <c r="F34" s="4"/>
      <c r="G34" s="104"/>
      <c r="H34" s="102"/>
      <c r="I34" s="2"/>
      <c r="J34" s="4"/>
      <c r="K34" s="102"/>
      <c r="L34" s="2"/>
      <c r="M34" s="4"/>
      <c r="N34" s="76"/>
      <c r="O34" s="67"/>
      <c r="P34" s="78"/>
    </row>
    <row r="35">
      <c r="A35" s="190"/>
      <c r="B35" s="2"/>
      <c r="C35" s="2"/>
      <c r="D35" s="191"/>
      <c r="E35" s="2"/>
      <c r="F35" s="4"/>
      <c r="G35" s="192"/>
      <c r="H35" s="120"/>
      <c r="I35" s="2"/>
      <c r="J35" s="4"/>
      <c r="K35" s="120"/>
      <c r="L35" s="2"/>
      <c r="M35" s="4"/>
      <c r="N35" s="193"/>
      <c r="O35" s="2"/>
      <c r="P35" s="4"/>
    </row>
    <row r="36">
      <c r="A36" s="190"/>
      <c r="B36" s="2"/>
      <c r="C36" s="2"/>
      <c r="D36" s="191"/>
      <c r="E36" s="2"/>
      <c r="F36" s="4"/>
      <c r="G36" s="192"/>
      <c r="H36" s="120"/>
      <c r="I36" s="2"/>
      <c r="J36" s="4"/>
      <c r="K36" s="120"/>
      <c r="L36" s="2"/>
      <c r="M36" s="4"/>
      <c r="N36" s="193"/>
      <c r="O36" s="2"/>
      <c r="P36" s="4"/>
      <c r="S36" s="194">
        <f>G43-P49</f>
        <v>750</v>
      </c>
    </row>
    <row r="37">
      <c r="A37" s="190"/>
      <c r="B37" s="2"/>
      <c r="C37" s="2"/>
      <c r="D37" s="191"/>
      <c r="E37" s="2"/>
      <c r="F37" s="4"/>
      <c r="G37" s="192"/>
      <c r="H37" s="120"/>
      <c r="I37" s="2"/>
      <c r="J37" s="4"/>
      <c r="K37" s="120"/>
      <c r="L37" s="2"/>
      <c r="M37" s="4"/>
      <c r="N37" s="193"/>
      <c r="O37" s="2"/>
      <c r="P37" s="4"/>
    </row>
    <row r="38">
      <c r="A38" s="190"/>
      <c r="B38" s="2"/>
      <c r="C38" s="2"/>
      <c r="D38" s="191"/>
      <c r="E38" s="2"/>
      <c r="F38" s="4"/>
      <c r="G38" s="192"/>
      <c r="H38" s="120"/>
      <c r="I38" s="2"/>
      <c r="J38" s="4"/>
      <c r="K38" s="120"/>
      <c r="L38" s="2"/>
      <c r="M38" s="4"/>
      <c r="N38" s="193"/>
      <c r="O38" s="2"/>
      <c r="P38" s="4"/>
    </row>
    <row r="39">
      <c r="A39" s="177"/>
      <c r="B39" s="178"/>
      <c r="C39" s="178"/>
      <c r="D39" s="179"/>
      <c r="E39" s="178"/>
      <c r="F39" s="180"/>
      <c r="G39" s="181"/>
      <c r="H39" s="182"/>
      <c r="I39" s="178"/>
      <c r="J39" s="180"/>
      <c r="K39" s="182"/>
      <c r="L39" s="178"/>
      <c r="M39" s="180"/>
      <c r="N39" s="186"/>
      <c r="O39" s="178"/>
      <c r="P39" s="180"/>
    </row>
    <row r="40">
      <c r="A40" s="91"/>
      <c r="B40" s="92"/>
      <c r="C40" s="92"/>
      <c r="D40" s="93"/>
      <c r="E40" s="67"/>
      <c r="F40" s="67"/>
      <c r="G40" s="95" t="s">
        <v>167</v>
      </c>
      <c r="H40" s="110"/>
      <c r="I40" s="67"/>
      <c r="J40" s="78"/>
      <c r="K40" s="110">
        <f>SUM(K10:M39)</f>
        <v>3345.5</v>
      </c>
      <c r="L40" s="67"/>
      <c r="M40" s="78"/>
      <c r="N40" s="110">
        <f>SUM(N33:P39)</f>
        <v>1872.5</v>
      </c>
      <c r="O40" s="67"/>
      <c r="P40" s="78"/>
    </row>
    <row r="41">
      <c r="A41" s="123" t="s">
        <v>210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124" t="s">
        <v>212</v>
      </c>
      <c r="B42" s="2"/>
      <c r="C42" s="2"/>
      <c r="D42" s="2"/>
      <c r="E42" s="2"/>
      <c r="F42" s="2"/>
      <c r="G42" s="90">
        <v>10.0</v>
      </c>
      <c r="H42" s="125"/>
      <c r="I42" s="125"/>
      <c r="J42" s="125"/>
      <c r="K42" s="125"/>
      <c r="L42" s="125"/>
      <c r="M42" s="125"/>
      <c r="N42" s="3" t="s">
        <v>0</v>
      </c>
      <c r="O42" s="2"/>
      <c r="P42" s="2"/>
    </row>
    <row r="43">
      <c r="A43" s="124" t="s">
        <v>213</v>
      </c>
      <c r="B43" s="2"/>
      <c r="C43" s="2"/>
      <c r="D43" s="2"/>
      <c r="E43" s="2"/>
      <c r="F43" s="2"/>
      <c r="G43" s="126">
        <v>8000.0</v>
      </c>
      <c r="H43" s="127"/>
      <c r="I43" s="127"/>
      <c r="J43" s="127"/>
      <c r="K43" s="127"/>
      <c r="L43" s="127"/>
      <c r="M43" s="127"/>
      <c r="N43" s="127" t="s">
        <v>167</v>
      </c>
      <c r="O43" s="2"/>
      <c r="P43" s="128">
        <f>N19</f>
        <v>2432.5</v>
      </c>
    </row>
    <row r="44">
      <c r="A44" s="129"/>
      <c r="B44" s="129"/>
      <c r="C44" s="129"/>
      <c r="D44" s="129"/>
      <c r="E44" s="129"/>
      <c r="F44" s="129"/>
      <c r="G44" s="129"/>
      <c r="H44" s="130"/>
      <c r="I44" s="130"/>
      <c r="J44" s="130"/>
      <c r="K44" s="130"/>
      <c r="L44" s="130"/>
      <c r="M44" s="130"/>
      <c r="N44" s="3" t="s">
        <v>170</v>
      </c>
      <c r="O44" s="2"/>
      <c r="P44" s="2"/>
    </row>
    <row r="45">
      <c r="A45" s="129"/>
      <c r="B45" s="129"/>
      <c r="C45" s="129"/>
      <c r="D45" s="129"/>
      <c r="E45" s="129"/>
      <c r="F45" s="129"/>
      <c r="G45" s="129"/>
      <c r="H45" s="131"/>
      <c r="I45" s="131"/>
      <c r="J45" s="131"/>
      <c r="K45" s="131"/>
      <c r="L45" s="131"/>
      <c r="M45" s="131"/>
      <c r="N45" s="127" t="s">
        <v>167</v>
      </c>
      <c r="O45" s="2"/>
      <c r="P45" s="128">
        <f>N30</f>
        <v>2945</v>
      </c>
    </row>
    <row r="46">
      <c r="A46" s="129"/>
      <c r="B46" s="129"/>
      <c r="C46" s="129"/>
      <c r="D46" s="129"/>
      <c r="E46" s="129"/>
      <c r="F46" s="129"/>
      <c r="G46" s="129"/>
      <c r="H46" s="130"/>
      <c r="I46" s="130"/>
      <c r="J46" s="130"/>
      <c r="K46" s="130"/>
      <c r="L46" s="130"/>
      <c r="M46" s="130"/>
      <c r="N46" s="3" t="s">
        <v>195</v>
      </c>
      <c r="O46" s="2"/>
      <c r="P46" s="2"/>
    </row>
    <row r="47">
      <c r="A47" s="129"/>
      <c r="B47" s="129"/>
      <c r="C47" s="129"/>
      <c r="D47" s="129"/>
      <c r="E47" s="129"/>
      <c r="F47" s="129"/>
      <c r="G47" s="129"/>
      <c r="H47" s="131"/>
      <c r="I47" s="131"/>
      <c r="J47" s="131"/>
      <c r="K47" s="131"/>
      <c r="L47" s="131"/>
      <c r="M47" s="131"/>
      <c r="N47" s="127" t="s">
        <v>167</v>
      </c>
      <c r="O47" s="2"/>
      <c r="P47" s="128">
        <f>N33-P34</f>
        <v>1872.5</v>
      </c>
    </row>
    <row r="48">
      <c r="A48" s="129"/>
      <c r="B48" s="129"/>
      <c r="C48" s="129"/>
      <c r="D48" s="129"/>
      <c r="E48" s="129"/>
      <c r="F48" s="129"/>
      <c r="G48" s="129"/>
      <c r="H48" s="130"/>
      <c r="I48" s="130"/>
      <c r="J48" s="130"/>
      <c r="K48" s="130"/>
      <c r="L48" s="130"/>
      <c r="M48" s="130"/>
      <c r="N48" s="3" t="s">
        <v>221</v>
      </c>
      <c r="O48" s="2"/>
      <c r="P48" s="2"/>
    </row>
    <row r="49">
      <c r="A49" s="129"/>
      <c r="B49" s="129"/>
      <c r="C49" s="129"/>
      <c r="D49" s="129"/>
      <c r="E49" s="129"/>
      <c r="F49" s="129"/>
      <c r="G49" s="129"/>
      <c r="H49" s="131"/>
      <c r="I49" s="131"/>
      <c r="J49" s="131"/>
      <c r="K49" s="131"/>
      <c r="L49" s="131"/>
      <c r="M49" s="131"/>
      <c r="N49" s="127" t="s">
        <v>167</v>
      </c>
      <c r="O49" s="2"/>
      <c r="P49" s="128">
        <f>sum(P43,P45,P47)</f>
        <v>7250</v>
      </c>
    </row>
    <row r="59">
      <c r="R59" s="134"/>
    </row>
  </sheetData>
  <mergeCells count="195">
    <mergeCell ref="H3:J3"/>
    <mergeCell ref="K3:M3"/>
    <mergeCell ref="R2:V2"/>
    <mergeCell ref="S3:V3"/>
    <mergeCell ref="S4:V4"/>
    <mergeCell ref="S5:V5"/>
    <mergeCell ref="S6:V6"/>
    <mergeCell ref="S7:V7"/>
    <mergeCell ref="S8:V8"/>
    <mergeCell ref="S9:V11"/>
    <mergeCell ref="A1:P1"/>
    <mergeCell ref="A2:C2"/>
    <mergeCell ref="D2:F2"/>
    <mergeCell ref="N2:P2"/>
    <mergeCell ref="A3:C3"/>
    <mergeCell ref="D3:F3"/>
    <mergeCell ref="N3:P3"/>
    <mergeCell ref="A4:C4"/>
    <mergeCell ref="D4:F4"/>
    <mergeCell ref="H4:J4"/>
    <mergeCell ref="K4:M4"/>
    <mergeCell ref="N4:P4"/>
    <mergeCell ref="D5:F5"/>
    <mergeCell ref="N5:P5"/>
    <mergeCell ref="H7:J7"/>
    <mergeCell ref="H8:J8"/>
    <mergeCell ref="K8:M8"/>
    <mergeCell ref="N8:P8"/>
    <mergeCell ref="H5:J5"/>
    <mergeCell ref="K5:M5"/>
    <mergeCell ref="H6:J6"/>
    <mergeCell ref="K6:M6"/>
    <mergeCell ref="N6:P6"/>
    <mergeCell ref="K7:M7"/>
    <mergeCell ref="N7:P7"/>
    <mergeCell ref="K12:M12"/>
    <mergeCell ref="N12:P12"/>
    <mergeCell ref="D9:F9"/>
    <mergeCell ref="H9:J9"/>
    <mergeCell ref="K9:M9"/>
    <mergeCell ref="N9:P9"/>
    <mergeCell ref="H10:J10"/>
    <mergeCell ref="K10:M10"/>
    <mergeCell ref="N10:P10"/>
    <mergeCell ref="A9:C9"/>
    <mergeCell ref="A11:C11"/>
    <mergeCell ref="D11:F11"/>
    <mergeCell ref="H11:J11"/>
    <mergeCell ref="K11:M11"/>
    <mergeCell ref="N11:P11"/>
    <mergeCell ref="H12:J12"/>
    <mergeCell ref="K15:M15"/>
    <mergeCell ref="N15:P15"/>
    <mergeCell ref="H16:J16"/>
    <mergeCell ref="K16:M16"/>
    <mergeCell ref="N16:P16"/>
    <mergeCell ref="S16:V16"/>
    <mergeCell ref="H13:J13"/>
    <mergeCell ref="K13:M13"/>
    <mergeCell ref="N13:P13"/>
    <mergeCell ref="H14:J14"/>
    <mergeCell ref="K14:M14"/>
    <mergeCell ref="N14:P14"/>
    <mergeCell ref="H15:J15"/>
    <mergeCell ref="H18:J18"/>
    <mergeCell ref="K18:M18"/>
    <mergeCell ref="N18:P18"/>
    <mergeCell ref="K19:M19"/>
    <mergeCell ref="N19:P19"/>
    <mergeCell ref="A20:P20"/>
    <mergeCell ref="N21:P21"/>
    <mergeCell ref="H25:J25"/>
    <mergeCell ref="K25:M25"/>
    <mergeCell ref="N25:P25"/>
    <mergeCell ref="K39:M39"/>
    <mergeCell ref="N39:P39"/>
    <mergeCell ref="H37:J37"/>
    <mergeCell ref="K37:M37"/>
    <mergeCell ref="N37:P37"/>
    <mergeCell ref="H38:J38"/>
    <mergeCell ref="K38:M38"/>
    <mergeCell ref="N38:P38"/>
    <mergeCell ref="H39:J39"/>
    <mergeCell ref="N45:O45"/>
    <mergeCell ref="N46:P46"/>
    <mergeCell ref="N47:O47"/>
    <mergeCell ref="N48:P48"/>
    <mergeCell ref="N49:O49"/>
    <mergeCell ref="H40:J40"/>
    <mergeCell ref="K40:M40"/>
    <mergeCell ref="N40:P40"/>
    <mergeCell ref="A41:P41"/>
    <mergeCell ref="N42:P42"/>
    <mergeCell ref="N43:O43"/>
    <mergeCell ref="N44:P44"/>
    <mergeCell ref="K24:M24"/>
    <mergeCell ref="N24:P24"/>
    <mergeCell ref="H22:J22"/>
    <mergeCell ref="K22:M22"/>
    <mergeCell ref="N22:P22"/>
    <mergeCell ref="H23:J23"/>
    <mergeCell ref="K23:M23"/>
    <mergeCell ref="N23:P23"/>
    <mergeCell ref="H24:J24"/>
    <mergeCell ref="K28:M28"/>
    <mergeCell ref="N28:P28"/>
    <mergeCell ref="H26:J26"/>
    <mergeCell ref="K26:M26"/>
    <mergeCell ref="N26:P26"/>
    <mergeCell ref="H27:J27"/>
    <mergeCell ref="K27:M27"/>
    <mergeCell ref="N27:P27"/>
    <mergeCell ref="H28:J28"/>
    <mergeCell ref="H29:J29"/>
    <mergeCell ref="K29:M29"/>
    <mergeCell ref="N29:P29"/>
    <mergeCell ref="N30:P30"/>
    <mergeCell ref="A31:P31"/>
    <mergeCell ref="K32:M32"/>
    <mergeCell ref="N32:P32"/>
    <mergeCell ref="H32:J32"/>
    <mergeCell ref="H33:J33"/>
    <mergeCell ref="K33:M33"/>
    <mergeCell ref="N33:P34"/>
    <mergeCell ref="A34:C34"/>
    <mergeCell ref="D34:F34"/>
    <mergeCell ref="K34:M34"/>
    <mergeCell ref="H34:J34"/>
    <mergeCell ref="H35:J35"/>
    <mergeCell ref="K35:M35"/>
    <mergeCell ref="N35:P35"/>
    <mergeCell ref="H36:J36"/>
    <mergeCell ref="K36:M36"/>
    <mergeCell ref="N36:P36"/>
    <mergeCell ref="A39:C39"/>
    <mergeCell ref="A40:C40"/>
    <mergeCell ref="A30:C30"/>
    <mergeCell ref="A32:C32"/>
    <mergeCell ref="A33:C33"/>
    <mergeCell ref="A35:C35"/>
    <mergeCell ref="A36:C36"/>
    <mergeCell ref="A37:C37"/>
    <mergeCell ref="A38:C38"/>
    <mergeCell ref="A5:C5"/>
    <mergeCell ref="A6:C6"/>
    <mergeCell ref="D6:F6"/>
    <mergeCell ref="A7:C7"/>
    <mergeCell ref="D7:F7"/>
    <mergeCell ref="A8:C8"/>
    <mergeCell ref="D8:F8"/>
    <mergeCell ref="A10:C10"/>
    <mergeCell ref="D10:F10"/>
    <mergeCell ref="A12:C12"/>
    <mergeCell ref="D12:F12"/>
    <mergeCell ref="A13:C13"/>
    <mergeCell ref="D13:F13"/>
    <mergeCell ref="D14:F14"/>
    <mergeCell ref="A14:C14"/>
    <mergeCell ref="A15:C15"/>
    <mergeCell ref="A16:C16"/>
    <mergeCell ref="A18:C18"/>
    <mergeCell ref="A19:C19"/>
    <mergeCell ref="A21:C21"/>
    <mergeCell ref="A22:C22"/>
    <mergeCell ref="D15:F15"/>
    <mergeCell ref="D16:F16"/>
    <mergeCell ref="D18:F18"/>
    <mergeCell ref="D19:F19"/>
    <mergeCell ref="D21:F21"/>
    <mergeCell ref="D22:F22"/>
    <mergeCell ref="D23:F23"/>
    <mergeCell ref="A23:C23"/>
    <mergeCell ref="A24:C24"/>
    <mergeCell ref="A25:C25"/>
    <mergeCell ref="A26:C26"/>
    <mergeCell ref="A27:C27"/>
    <mergeCell ref="A28:C28"/>
    <mergeCell ref="A29:C29"/>
    <mergeCell ref="D24:F24"/>
    <mergeCell ref="D25:F25"/>
    <mergeCell ref="D26:F26"/>
    <mergeCell ref="D27:F27"/>
    <mergeCell ref="D28:F28"/>
    <mergeCell ref="D29:F29"/>
    <mergeCell ref="D30:F30"/>
    <mergeCell ref="D40:F40"/>
    <mergeCell ref="A42:F42"/>
    <mergeCell ref="A43:F43"/>
    <mergeCell ref="D32:F32"/>
    <mergeCell ref="D33:F33"/>
    <mergeCell ref="D35:F35"/>
    <mergeCell ref="D36:F36"/>
    <mergeCell ref="D37:F37"/>
    <mergeCell ref="D38:F38"/>
    <mergeCell ref="D39:F39"/>
  </mergeCells>
  <hyperlinks>
    <hyperlink r:id="rId1" ref="D24"/>
    <hyperlink r:id="rId2" ref="D25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11.25"/>
    <col customWidth="1" min="2" max="2" width="28.75"/>
    <col customWidth="1" min="3" max="3" width="63.63"/>
    <col customWidth="1" min="5" max="5" width="16.5"/>
    <col customWidth="1" min="6" max="6" width="29.13"/>
  </cols>
  <sheetData>
    <row r="1">
      <c r="A1" s="161" t="s">
        <v>275</v>
      </c>
      <c r="B1" s="161" t="s">
        <v>277</v>
      </c>
      <c r="C1" s="161" t="s">
        <v>278</v>
      </c>
      <c r="D1" s="161" t="s">
        <v>3</v>
      </c>
      <c r="E1" s="161" t="s">
        <v>280</v>
      </c>
      <c r="F1" s="161" t="s">
        <v>282</v>
      </c>
    </row>
    <row r="2">
      <c r="A2" s="161" t="s">
        <v>283</v>
      </c>
      <c r="B2" s="161" t="s">
        <v>285</v>
      </c>
      <c r="C2" s="161" t="s">
        <v>286</v>
      </c>
      <c r="D2" s="163">
        <v>34.0</v>
      </c>
      <c r="E2" s="161" t="s">
        <v>287</v>
      </c>
      <c r="F2" s="164"/>
    </row>
    <row r="3">
      <c r="A3" s="161" t="s">
        <v>288</v>
      </c>
      <c r="B3" s="161" t="s">
        <v>137</v>
      </c>
      <c r="C3" s="161" t="s">
        <v>289</v>
      </c>
      <c r="D3" s="163">
        <v>16.0</v>
      </c>
      <c r="E3" s="161" t="s">
        <v>290</v>
      </c>
    </row>
    <row r="4">
      <c r="A4" s="161" t="s">
        <v>291</v>
      </c>
      <c r="B4" s="161" t="s">
        <v>77</v>
      </c>
      <c r="C4" s="161" t="s">
        <v>292</v>
      </c>
      <c r="D4" s="163">
        <v>50.0</v>
      </c>
      <c r="E4" s="161" t="s">
        <v>78</v>
      </c>
      <c r="F4" s="164"/>
    </row>
    <row r="5">
      <c r="A5" s="161" t="s">
        <v>293</v>
      </c>
      <c r="B5" s="161" t="s">
        <v>137</v>
      </c>
      <c r="C5" s="161" t="s">
        <v>286</v>
      </c>
      <c r="D5" s="163">
        <v>1.0</v>
      </c>
      <c r="E5" s="161" t="s">
        <v>294</v>
      </c>
      <c r="F5" s="164"/>
    </row>
    <row r="6">
      <c r="A6" s="161" t="s">
        <v>295</v>
      </c>
      <c r="B6" s="161" t="s">
        <v>79</v>
      </c>
      <c r="C6" s="161" t="s">
        <v>296</v>
      </c>
      <c r="D6" s="163">
        <v>13.0</v>
      </c>
      <c r="E6" s="161" t="s">
        <v>80</v>
      </c>
      <c r="F6" s="164"/>
    </row>
    <row r="7">
      <c r="A7" s="161" t="s">
        <v>298</v>
      </c>
      <c r="B7" s="161" t="s">
        <v>111</v>
      </c>
      <c r="C7" s="161" t="s">
        <v>296</v>
      </c>
      <c r="D7" s="163">
        <v>3.0</v>
      </c>
      <c r="E7" s="161" t="s">
        <v>300</v>
      </c>
      <c r="F7" s="164"/>
    </row>
    <row r="8">
      <c r="A8" s="161" t="s">
        <v>301</v>
      </c>
      <c r="B8" s="161" t="s">
        <v>51</v>
      </c>
      <c r="C8" s="161" t="s">
        <v>302</v>
      </c>
      <c r="D8" s="163">
        <v>9.0</v>
      </c>
      <c r="E8" s="161" t="s">
        <v>53</v>
      </c>
      <c r="F8" s="164"/>
    </row>
    <row r="9">
      <c r="A9" s="161" t="s">
        <v>304</v>
      </c>
      <c r="B9" s="161" t="s">
        <v>145</v>
      </c>
      <c r="C9" s="161" t="s">
        <v>286</v>
      </c>
      <c r="D9" s="163">
        <v>1.0</v>
      </c>
      <c r="E9" s="161" t="s">
        <v>306</v>
      </c>
    </row>
    <row r="10">
      <c r="A10" s="161" t="s">
        <v>308</v>
      </c>
      <c r="B10" s="161" t="s">
        <v>117</v>
      </c>
      <c r="C10" s="161" t="s">
        <v>292</v>
      </c>
      <c r="D10" s="163">
        <v>15.0</v>
      </c>
      <c r="E10" s="161" t="s">
        <v>118</v>
      </c>
      <c r="F10" s="164"/>
    </row>
    <row r="11">
      <c r="A11" s="161" t="s">
        <v>310</v>
      </c>
      <c r="B11" s="161" t="s">
        <v>311</v>
      </c>
      <c r="C11" s="161" t="s">
        <v>286</v>
      </c>
      <c r="D11" s="163">
        <v>1.0</v>
      </c>
      <c r="E11" s="164"/>
      <c r="F11" s="164"/>
    </row>
    <row r="12">
      <c r="A12" s="161" t="s">
        <v>312</v>
      </c>
      <c r="B12" s="161" t="s">
        <v>317</v>
      </c>
      <c r="C12" s="161" t="s">
        <v>286</v>
      </c>
      <c r="D12" s="163">
        <v>1.0</v>
      </c>
      <c r="E12" s="164"/>
      <c r="F12" s="164"/>
    </row>
    <row r="13">
      <c r="A13" s="161" t="s">
        <v>318</v>
      </c>
      <c r="B13" s="161" t="s">
        <v>132</v>
      </c>
      <c r="C13" s="161" t="s">
        <v>286</v>
      </c>
      <c r="D13" s="163">
        <v>8.0</v>
      </c>
      <c r="E13" s="164"/>
      <c r="F13" s="164"/>
    </row>
    <row r="14">
      <c r="A14" s="161" t="s">
        <v>319</v>
      </c>
      <c r="B14" s="161" t="s">
        <v>107</v>
      </c>
      <c r="C14" s="161" t="s">
        <v>321</v>
      </c>
      <c r="D14" s="163">
        <v>1.0</v>
      </c>
      <c r="E14" s="164"/>
      <c r="F14" s="164"/>
    </row>
    <row r="15">
      <c r="A15" s="161" t="s">
        <v>322</v>
      </c>
      <c r="B15" s="161" t="s">
        <v>323</v>
      </c>
      <c r="C15" s="161" t="s">
        <v>324</v>
      </c>
      <c r="D15" s="163">
        <v>1.0</v>
      </c>
      <c r="E15" s="161" t="s">
        <v>294</v>
      </c>
      <c r="F15" s="164"/>
    </row>
    <row r="16">
      <c r="A16" s="161" t="s">
        <v>325</v>
      </c>
      <c r="B16" s="161" t="s">
        <v>326</v>
      </c>
      <c r="C16" s="161" t="s">
        <v>328</v>
      </c>
      <c r="D16" s="163">
        <v>4.0</v>
      </c>
      <c r="E16" s="161" t="s">
        <v>294</v>
      </c>
      <c r="F16" s="164"/>
    </row>
    <row r="17">
      <c r="A17" s="161" t="s">
        <v>329</v>
      </c>
      <c r="B17" s="161" t="s">
        <v>34</v>
      </c>
      <c r="C17" s="161" t="s">
        <v>330</v>
      </c>
      <c r="D17" s="163">
        <v>3.0</v>
      </c>
      <c r="E17" s="164"/>
      <c r="F17" s="161" t="s">
        <v>332</v>
      </c>
    </row>
    <row r="18">
      <c r="A18" s="161" t="s">
        <v>333</v>
      </c>
      <c r="B18" s="161" t="s">
        <v>334</v>
      </c>
      <c r="C18" s="161" t="s">
        <v>335</v>
      </c>
      <c r="D18" s="163">
        <v>1.0</v>
      </c>
      <c r="E18" s="164"/>
      <c r="F18" s="164"/>
    </row>
    <row r="19">
      <c r="A19" s="161" t="s">
        <v>337</v>
      </c>
      <c r="B19" s="161" t="s">
        <v>29</v>
      </c>
      <c r="C19" s="161" t="s">
        <v>338</v>
      </c>
      <c r="D19" s="163">
        <v>1.0</v>
      </c>
      <c r="E19" s="164"/>
      <c r="F19" s="164"/>
    </row>
    <row r="20">
      <c r="A20" s="161" t="s">
        <v>340</v>
      </c>
      <c r="B20" s="161" t="s">
        <v>341</v>
      </c>
      <c r="C20" s="169" t="s">
        <v>342</v>
      </c>
      <c r="D20" s="163">
        <v>1.0</v>
      </c>
      <c r="E20" s="164"/>
      <c r="F20" s="164"/>
    </row>
    <row r="21">
      <c r="A21" s="161" t="s">
        <v>345</v>
      </c>
      <c r="B21" s="161" t="s">
        <v>346</v>
      </c>
      <c r="C21" s="161" t="s">
        <v>347</v>
      </c>
      <c r="D21" s="163">
        <v>2.0</v>
      </c>
      <c r="E21" s="164"/>
      <c r="F21" s="164"/>
    </row>
    <row r="22">
      <c r="A22" s="161" t="s">
        <v>348</v>
      </c>
      <c r="B22" s="161" t="s">
        <v>349</v>
      </c>
      <c r="C22" s="161" t="s">
        <v>350</v>
      </c>
      <c r="D22" s="163">
        <v>2.0</v>
      </c>
      <c r="E22" s="164"/>
      <c r="F22" s="164"/>
    </row>
    <row r="23">
      <c r="A23" s="161" t="s">
        <v>351</v>
      </c>
      <c r="B23" s="161" t="s">
        <v>352</v>
      </c>
      <c r="C23" s="161" t="s">
        <v>353</v>
      </c>
      <c r="D23" s="163">
        <v>1.0</v>
      </c>
      <c r="E23" s="164"/>
      <c r="F23" s="164"/>
    </row>
    <row r="24">
      <c r="A24" s="161" t="s">
        <v>355</v>
      </c>
      <c r="B24" s="161" t="s">
        <v>356</v>
      </c>
      <c r="C24" s="161" t="s">
        <v>357</v>
      </c>
      <c r="D24" s="163">
        <v>1.0</v>
      </c>
      <c r="E24" s="164"/>
      <c r="F24" s="164"/>
    </row>
    <row r="25">
      <c r="A25" s="161" t="s">
        <v>358</v>
      </c>
      <c r="B25" s="161" t="s">
        <v>97</v>
      </c>
      <c r="C25" s="161" t="s">
        <v>359</v>
      </c>
      <c r="D25" s="163">
        <v>1.0</v>
      </c>
      <c r="E25" s="161" t="s">
        <v>360</v>
      </c>
      <c r="F25" s="164"/>
    </row>
    <row r="26">
      <c r="A26" s="161" t="s">
        <v>362</v>
      </c>
      <c r="B26" s="161" t="s">
        <v>141</v>
      </c>
      <c r="C26" s="161" t="s">
        <v>363</v>
      </c>
      <c r="D26" s="163">
        <v>7.0</v>
      </c>
      <c r="E26" s="161" t="s">
        <v>142</v>
      </c>
      <c r="F26" s="164"/>
    </row>
    <row r="27">
      <c r="A27" s="161" t="s">
        <v>365</v>
      </c>
      <c r="B27" s="161" t="s">
        <v>31</v>
      </c>
      <c r="C27" s="161" t="s">
        <v>363</v>
      </c>
      <c r="D27" s="163">
        <v>1.0</v>
      </c>
      <c r="E27" s="161" t="s">
        <v>366</v>
      </c>
    </row>
    <row r="28">
      <c r="A28" s="161" t="s">
        <v>368</v>
      </c>
      <c r="B28" s="161" t="s">
        <v>81</v>
      </c>
      <c r="C28" s="161" t="s">
        <v>324</v>
      </c>
      <c r="D28" s="163">
        <v>1.0</v>
      </c>
      <c r="E28" s="164"/>
      <c r="F28" s="164"/>
    </row>
    <row r="29">
      <c r="A29" s="161" t="s">
        <v>369</v>
      </c>
      <c r="B29" s="161" t="s">
        <v>370</v>
      </c>
      <c r="C29" s="161" t="s">
        <v>371</v>
      </c>
      <c r="D29" s="163">
        <v>1.0</v>
      </c>
      <c r="E29" s="164"/>
      <c r="F29" s="164"/>
    </row>
    <row r="30">
      <c r="A30" s="161" t="s">
        <v>372</v>
      </c>
      <c r="B30" s="161" t="s">
        <v>26</v>
      </c>
      <c r="C30" s="161" t="s">
        <v>373</v>
      </c>
      <c r="D30" s="163">
        <v>1.0</v>
      </c>
      <c r="E30" s="164"/>
      <c r="F30" s="164"/>
    </row>
    <row r="31">
      <c r="A31" s="161" t="s">
        <v>374</v>
      </c>
      <c r="B31" s="161" t="s">
        <v>62</v>
      </c>
      <c r="C31" s="161" t="s">
        <v>375</v>
      </c>
      <c r="D31" s="163">
        <v>1.0</v>
      </c>
      <c r="E31" s="164"/>
      <c r="F31" s="164"/>
    </row>
    <row r="32">
      <c r="A32" s="161" t="s">
        <v>376</v>
      </c>
      <c r="B32" s="161" t="s">
        <v>46</v>
      </c>
      <c r="C32" s="161" t="s">
        <v>377</v>
      </c>
      <c r="D32" s="163">
        <v>25.0</v>
      </c>
      <c r="E32" s="161" t="s">
        <v>378</v>
      </c>
    </row>
    <row r="33">
      <c r="A33" s="161" t="s">
        <v>379</v>
      </c>
      <c r="B33" s="161" t="s">
        <v>380</v>
      </c>
      <c r="C33" s="161" t="s">
        <v>377</v>
      </c>
      <c r="D33" s="163">
        <v>30.0</v>
      </c>
      <c r="E33" s="161" t="s">
        <v>381</v>
      </c>
    </row>
    <row r="34">
      <c r="A34" s="161" t="s">
        <v>382</v>
      </c>
      <c r="B34" s="161" t="s">
        <v>95</v>
      </c>
      <c r="C34" s="161" t="s">
        <v>377</v>
      </c>
      <c r="D34" s="163">
        <v>3.0</v>
      </c>
      <c r="E34" s="161" t="s">
        <v>96</v>
      </c>
      <c r="F34" s="164"/>
    </row>
    <row r="35">
      <c r="A35" s="161" t="s">
        <v>383</v>
      </c>
      <c r="B35" s="161" t="s">
        <v>86</v>
      </c>
      <c r="C35" s="161" t="s">
        <v>377</v>
      </c>
      <c r="D35" s="163">
        <v>12.0</v>
      </c>
      <c r="E35" s="161" t="s">
        <v>384</v>
      </c>
      <c r="F35" s="164"/>
    </row>
    <row r="36">
      <c r="A36" s="161" t="s">
        <v>385</v>
      </c>
      <c r="B36" s="161" t="s">
        <v>124</v>
      </c>
      <c r="C36" s="161" t="s">
        <v>377</v>
      </c>
      <c r="D36" s="163">
        <v>1.0</v>
      </c>
      <c r="E36" s="161" t="s">
        <v>125</v>
      </c>
      <c r="F36" s="164"/>
    </row>
    <row r="37">
      <c r="A37" s="161" t="s">
        <v>386</v>
      </c>
      <c r="B37" s="161" t="s">
        <v>21</v>
      </c>
      <c r="C37" s="161" t="s">
        <v>377</v>
      </c>
      <c r="D37" s="163">
        <v>15.0</v>
      </c>
      <c r="E37" s="161" t="s">
        <v>22</v>
      </c>
      <c r="F37" s="164"/>
    </row>
    <row r="38">
      <c r="A38" s="161" t="s">
        <v>387</v>
      </c>
      <c r="B38" s="161" t="s">
        <v>70</v>
      </c>
      <c r="C38" s="161" t="s">
        <v>377</v>
      </c>
      <c r="D38" s="163">
        <v>1.0</v>
      </c>
      <c r="E38" s="161" t="s">
        <v>72</v>
      </c>
      <c r="F38" s="164"/>
    </row>
    <row r="39">
      <c r="A39" s="161" t="s">
        <v>388</v>
      </c>
      <c r="B39" s="161" t="s">
        <v>151</v>
      </c>
      <c r="C39" s="161" t="s">
        <v>377</v>
      </c>
      <c r="D39" s="163">
        <v>1.0</v>
      </c>
      <c r="E39" s="161" t="s">
        <v>152</v>
      </c>
      <c r="F39" s="164"/>
    </row>
    <row r="40">
      <c r="A40" s="161" t="s">
        <v>389</v>
      </c>
      <c r="B40" s="161" t="s">
        <v>119</v>
      </c>
      <c r="C40" s="161" t="s">
        <v>377</v>
      </c>
      <c r="D40" s="163">
        <v>3.0</v>
      </c>
      <c r="E40" s="161" t="s">
        <v>120</v>
      </c>
      <c r="F40" s="164"/>
    </row>
    <row r="41">
      <c r="A41" s="161" t="s">
        <v>390</v>
      </c>
      <c r="B41" s="161" t="s">
        <v>43</v>
      </c>
      <c r="C41" s="161" t="s">
        <v>377</v>
      </c>
      <c r="D41" s="163">
        <v>1.0</v>
      </c>
      <c r="E41" s="161" t="s">
        <v>45</v>
      </c>
      <c r="F41" s="164"/>
    </row>
    <row r="42">
      <c r="A42" s="161" t="s">
        <v>391</v>
      </c>
      <c r="B42" s="161" t="s">
        <v>103</v>
      </c>
      <c r="C42" s="161" t="s">
        <v>377</v>
      </c>
      <c r="D42" s="163">
        <v>1.0</v>
      </c>
      <c r="E42" s="161" t="s">
        <v>104</v>
      </c>
      <c r="F42" s="164"/>
    </row>
    <row r="43">
      <c r="A43" s="161" t="s">
        <v>392</v>
      </c>
      <c r="B43" s="161" t="s">
        <v>115</v>
      </c>
      <c r="C43" s="161" t="s">
        <v>377</v>
      </c>
      <c r="D43" s="163">
        <v>1.0</v>
      </c>
      <c r="E43" s="161" t="s">
        <v>116</v>
      </c>
      <c r="F43" s="164"/>
    </row>
    <row r="44">
      <c r="A44" s="161" t="s">
        <v>393</v>
      </c>
      <c r="B44" s="161" t="s">
        <v>148</v>
      </c>
      <c r="C44" s="161" t="s">
        <v>394</v>
      </c>
      <c r="D44" s="163">
        <v>3.0</v>
      </c>
      <c r="E44" s="161" t="s">
        <v>395</v>
      </c>
    </row>
    <row r="45">
      <c r="A45" s="161" t="s">
        <v>396</v>
      </c>
      <c r="B45" s="161" t="s">
        <v>66</v>
      </c>
      <c r="C45" s="161" t="s">
        <v>377</v>
      </c>
      <c r="D45" s="163">
        <v>1.0</v>
      </c>
      <c r="E45" s="161" t="s">
        <v>397</v>
      </c>
      <c r="F45" s="164"/>
    </row>
    <row r="46">
      <c r="A46" s="161" t="s">
        <v>398</v>
      </c>
      <c r="B46" s="161" t="s">
        <v>126</v>
      </c>
      <c r="C46" s="161" t="s">
        <v>377</v>
      </c>
      <c r="D46" s="163">
        <v>1.0</v>
      </c>
      <c r="E46" s="161" t="s">
        <v>397</v>
      </c>
      <c r="F46" s="164"/>
    </row>
    <row r="47">
      <c r="A47" s="161" t="s">
        <v>399</v>
      </c>
      <c r="B47" s="163">
        <v>330.0</v>
      </c>
      <c r="C47" s="161" t="s">
        <v>377</v>
      </c>
      <c r="D47" s="163">
        <v>1.0</v>
      </c>
      <c r="E47" s="164"/>
      <c r="F47" s="164"/>
    </row>
    <row r="48">
      <c r="A48" s="161" t="s">
        <v>400</v>
      </c>
      <c r="B48" s="161" t="s">
        <v>105</v>
      </c>
      <c r="C48" s="161" t="s">
        <v>377</v>
      </c>
      <c r="D48" s="163">
        <v>1.0</v>
      </c>
      <c r="E48" s="164"/>
      <c r="F48" s="164"/>
    </row>
    <row r="49">
      <c r="A49" s="161" t="s">
        <v>401</v>
      </c>
      <c r="B49" s="161" t="s">
        <v>402</v>
      </c>
      <c r="C49" s="161" t="s">
        <v>377</v>
      </c>
      <c r="D49" s="163">
        <v>2.0</v>
      </c>
      <c r="E49" s="164"/>
      <c r="F49" s="164"/>
    </row>
    <row r="50">
      <c r="A50" s="161" t="s">
        <v>403</v>
      </c>
      <c r="B50" s="161" t="s">
        <v>55</v>
      </c>
      <c r="C50" s="161" t="s">
        <v>377</v>
      </c>
      <c r="D50" s="163">
        <v>2.0</v>
      </c>
      <c r="E50" s="164"/>
      <c r="F50" s="164"/>
    </row>
    <row r="51">
      <c r="A51" s="161" t="s">
        <v>404</v>
      </c>
      <c r="B51" s="161" t="s">
        <v>84</v>
      </c>
      <c r="C51" s="161" t="s">
        <v>377</v>
      </c>
      <c r="D51" s="163">
        <v>2.0</v>
      </c>
      <c r="E51" s="164"/>
      <c r="F51" s="164"/>
    </row>
    <row r="52">
      <c r="A52" s="161" t="s">
        <v>405</v>
      </c>
      <c r="B52" s="161" t="s">
        <v>128</v>
      </c>
      <c r="C52" s="161" t="s">
        <v>377</v>
      </c>
      <c r="D52" s="163">
        <v>2.0</v>
      </c>
      <c r="E52" s="164"/>
      <c r="F52" s="164"/>
    </row>
    <row r="53">
      <c r="A53" s="161" t="s">
        <v>406</v>
      </c>
      <c r="B53" s="163">
        <v>470.0</v>
      </c>
      <c r="C53" s="161" t="s">
        <v>377</v>
      </c>
      <c r="D53" s="163">
        <v>1.0</v>
      </c>
      <c r="E53" s="164"/>
      <c r="F53" s="164"/>
    </row>
    <row r="54">
      <c r="A54" s="161" t="s">
        <v>407</v>
      </c>
      <c r="B54" s="161" t="s">
        <v>19</v>
      </c>
      <c r="C54" s="161" t="s">
        <v>377</v>
      </c>
      <c r="D54" s="163">
        <v>1.0</v>
      </c>
      <c r="E54" s="164"/>
      <c r="F54" s="164"/>
    </row>
    <row r="55">
      <c r="A55" s="161" t="s">
        <v>408</v>
      </c>
      <c r="B55" s="163">
        <v>220.0</v>
      </c>
      <c r="C55" s="161" t="s">
        <v>377</v>
      </c>
      <c r="D55" s="163">
        <v>4.0</v>
      </c>
      <c r="E55" s="161" t="s">
        <v>22</v>
      </c>
      <c r="F55" s="164"/>
    </row>
    <row r="56">
      <c r="A56" s="161" t="s">
        <v>409</v>
      </c>
      <c r="B56" s="161" t="s">
        <v>410</v>
      </c>
      <c r="C56" s="161" t="s">
        <v>377</v>
      </c>
      <c r="D56" s="163">
        <v>2.0</v>
      </c>
      <c r="E56" s="161" t="s">
        <v>22</v>
      </c>
      <c r="F56" s="164"/>
    </row>
    <row r="57">
      <c r="A57" s="161" t="s">
        <v>411</v>
      </c>
      <c r="B57" s="161" t="s">
        <v>412</v>
      </c>
      <c r="C57" s="161" t="s">
        <v>413</v>
      </c>
      <c r="D57" s="163">
        <v>16.0</v>
      </c>
      <c r="E57" s="161" t="s">
        <v>294</v>
      </c>
      <c r="F57" s="164"/>
    </row>
    <row r="58">
      <c r="A58" s="161" t="s">
        <v>414</v>
      </c>
      <c r="B58" s="161" t="s">
        <v>109</v>
      </c>
      <c r="C58" s="161" t="s">
        <v>415</v>
      </c>
      <c r="D58" s="163">
        <v>1.0</v>
      </c>
      <c r="E58" s="161" t="s">
        <v>397</v>
      </c>
      <c r="F58" s="164"/>
    </row>
    <row r="59">
      <c r="A59" s="161" t="s">
        <v>416</v>
      </c>
      <c r="B59" s="161" t="s">
        <v>91</v>
      </c>
      <c r="C59" s="161" t="s">
        <v>417</v>
      </c>
      <c r="D59" s="163">
        <v>1.0</v>
      </c>
      <c r="E59" s="161" t="s">
        <v>397</v>
      </c>
      <c r="F59" s="164"/>
    </row>
    <row r="60">
      <c r="A60" s="161" t="s">
        <v>418</v>
      </c>
      <c r="B60" s="161" t="s">
        <v>93</v>
      </c>
      <c r="C60" s="161" t="s">
        <v>419</v>
      </c>
      <c r="D60" s="163">
        <v>1.0</v>
      </c>
      <c r="E60" s="161" t="s">
        <v>94</v>
      </c>
      <c r="F60" s="164"/>
    </row>
    <row r="61">
      <c r="A61" s="161" t="s">
        <v>420</v>
      </c>
      <c r="B61" s="161" t="s">
        <v>101</v>
      </c>
      <c r="C61" s="161" t="s">
        <v>421</v>
      </c>
      <c r="D61" s="163">
        <v>2.0</v>
      </c>
      <c r="E61" s="164"/>
      <c r="F61" s="161" t="s">
        <v>423</v>
      </c>
    </row>
    <row r="62">
      <c r="A62" s="161" t="s">
        <v>424</v>
      </c>
      <c r="B62" s="161" t="s">
        <v>130</v>
      </c>
      <c r="C62" s="161" t="s">
        <v>425</v>
      </c>
      <c r="D62" s="163">
        <v>1.0</v>
      </c>
      <c r="E62" s="164"/>
      <c r="F62" s="161" t="s">
        <v>426</v>
      </c>
    </row>
    <row r="63">
      <c r="A63" s="161" t="s">
        <v>427</v>
      </c>
      <c r="B63" s="161" t="s">
        <v>122</v>
      </c>
      <c r="C63" s="161" t="s">
        <v>428</v>
      </c>
      <c r="D63" s="163">
        <v>1.0</v>
      </c>
      <c r="E63" s="161" t="s">
        <v>123</v>
      </c>
      <c r="F63" s="164"/>
    </row>
    <row r="64">
      <c r="A64" s="161" t="s">
        <v>429</v>
      </c>
      <c r="B64" s="161" t="s">
        <v>88</v>
      </c>
      <c r="C64" s="161" t="s">
        <v>430</v>
      </c>
      <c r="D64" s="163">
        <v>1.0</v>
      </c>
      <c r="E64" s="161" t="s">
        <v>89</v>
      </c>
      <c r="F64" s="164"/>
    </row>
    <row r="65">
      <c r="A65" s="161" t="s">
        <v>431</v>
      </c>
      <c r="B65" s="161" t="s">
        <v>73</v>
      </c>
      <c r="C65" s="161" t="s">
        <v>433</v>
      </c>
      <c r="D65" s="163">
        <v>1.0</v>
      </c>
      <c r="E65" s="161" t="s">
        <v>397</v>
      </c>
      <c r="F65" s="164"/>
    </row>
    <row r="66">
      <c r="A66" s="161" t="s">
        <v>434</v>
      </c>
      <c r="B66" s="161" t="s">
        <v>143</v>
      </c>
      <c r="C66" s="161" t="s">
        <v>435</v>
      </c>
      <c r="D66" s="163">
        <v>1.0</v>
      </c>
      <c r="E66" s="164"/>
      <c r="F66" s="161" t="s">
        <v>436</v>
      </c>
    </row>
    <row r="67">
      <c r="A67" s="161" t="s">
        <v>437</v>
      </c>
      <c r="B67" s="161" t="s">
        <v>16</v>
      </c>
      <c r="C67" s="161" t="s">
        <v>438</v>
      </c>
      <c r="D67" s="163">
        <v>1.0</v>
      </c>
      <c r="E67" s="161" t="s">
        <v>17</v>
      </c>
      <c r="F67" s="164"/>
    </row>
    <row r="68">
      <c r="A68" s="161" t="s">
        <v>439</v>
      </c>
      <c r="B68" s="161" t="s">
        <v>139</v>
      </c>
      <c r="C68" s="161" t="s">
        <v>440</v>
      </c>
      <c r="D68" s="163">
        <v>1.0</v>
      </c>
      <c r="E68" s="164"/>
      <c r="F68" s="164"/>
    </row>
    <row r="69">
      <c r="A69" s="161" t="s">
        <v>441</v>
      </c>
      <c r="B69" s="161" t="s">
        <v>134</v>
      </c>
      <c r="C69" s="161" t="s">
        <v>442</v>
      </c>
      <c r="D69" s="163">
        <v>1.0</v>
      </c>
      <c r="E69" s="161" t="s">
        <v>397</v>
      </c>
      <c r="F69" s="164"/>
    </row>
    <row r="70">
      <c r="A70" s="161" t="s">
        <v>443</v>
      </c>
      <c r="B70" s="161" t="s">
        <v>48</v>
      </c>
      <c r="C70" s="161" t="s">
        <v>444</v>
      </c>
      <c r="D70" s="163">
        <v>1.0</v>
      </c>
      <c r="E70" s="161" t="s">
        <v>49</v>
      </c>
      <c r="F70" s="164"/>
    </row>
    <row r="71">
      <c r="A71" s="161" t="s">
        <v>445</v>
      </c>
      <c r="B71" s="161" t="s">
        <v>153</v>
      </c>
      <c r="C71" s="161" t="s">
        <v>446</v>
      </c>
      <c r="D71" s="163">
        <v>1.0</v>
      </c>
      <c r="E71" s="164"/>
      <c r="F71" s="164"/>
    </row>
    <row r="72">
      <c r="A72" s="161" t="s">
        <v>447</v>
      </c>
      <c r="B72" s="161" t="s">
        <v>39</v>
      </c>
      <c r="C72" s="161" t="s">
        <v>440</v>
      </c>
      <c r="D72" s="163">
        <v>1.0</v>
      </c>
      <c r="E72" s="164"/>
      <c r="F72" s="164"/>
    </row>
    <row r="73">
      <c r="A73" s="161" t="s">
        <v>448</v>
      </c>
      <c r="B73" s="161" t="s">
        <v>449</v>
      </c>
      <c r="C73" s="161" t="s">
        <v>450</v>
      </c>
      <c r="D73" s="163">
        <v>1.0</v>
      </c>
      <c r="E73" s="164"/>
      <c r="F73" s="164"/>
    </row>
    <row r="74">
      <c r="A74" s="161" t="s">
        <v>451</v>
      </c>
      <c r="B74" s="161" t="s">
        <v>452</v>
      </c>
      <c r="C74" s="161" t="s">
        <v>453</v>
      </c>
      <c r="D74" s="163">
        <v>1.0</v>
      </c>
      <c r="E74" s="164"/>
      <c r="F74" s="161" t="s">
        <v>454</v>
      </c>
    </row>
    <row r="75">
      <c r="A75" s="161" t="s">
        <v>455</v>
      </c>
      <c r="B75" s="161" t="s">
        <v>456</v>
      </c>
      <c r="C75" s="161" t="s">
        <v>453</v>
      </c>
      <c r="D75" s="163">
        <v>1.0</v>
      </c>
      <c r="E75" s="164"/>
      <c r="F75" s="161" t="s">
        <v>457</v>
      </c>
    </row>
    <row r="76">
      <c r="A76" s="161" t="s">
        <v>458</v>
      </c>
      <c r="B76" s="161" t="s">
        <v>459</v>
      </c>
      <c r="C76" s="161" t="s">
        <v>453</v>
      </c>
      <c r="D76" s="163">
        <v>1.0</v>
      </c>
      <c r="E76" s="164"/>
      <c r="F76" s="161" t="s">
        <v>460</v>
      </c>
    </row>
  </sheetData>
  <mergeCells count="6">
    <mergeCell ref="E3:F3"/>
    <mergeCell ref="E9:F9"/>
    <mergeCell ref="E27:F27"/>
    <mergeCell ref="E32:F32"/>
    <mergeCell ref="E33:F33"/>
    <mergeCell ref="E44:F44"/>
  </mergeCells>
  <drawing r:id="rId1"/>
</worksheet>
</file>